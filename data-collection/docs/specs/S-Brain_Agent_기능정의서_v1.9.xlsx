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F:\Claude-Code\문서작업\02_작업중\"/>
    </mc:Choice>
  </mc:AlternateContent>
  <xr:revisionPtr revIDLastSave="0" documentId="13_ncr:1_{B62093B5-5413-4DA9-A8EB-374AF164D3C5}" xr6:coauthVersionLast="47" xr6:coauthVersionMax="47" xr10:uidLastSave="{00000000-0000-0000-0000-000000000000}"/>
  <bookViews>
    <workbookView xWindow="-108" yWindow="-108" windowWidth="23256" windowHeight="12456" tabRatio="500" xr2:uid="{00000000-000D-0000-FFFF-FFFF00000000}"/>
  </bookViews>
  <sheets>
    <sheet name="1_개요" sheetId="1" r:id="rId1"/>
    <sheet name="2_Agent기능정의" sheetId="2" r:id="rId2"/>
    <sheet name="3_입출력변수명세" sheetId="3" r:id="rId3"/>
    <sheet name="4_타입정의" sheetId="4" r:id="rId4"/>
    <sheet name="5_규칙모듈" sheetId="5" r:id="rId5"/>
    <sheet name="6_오류코드" sheetId="6" r:id="rId6"/>
    <sheet name="7_재작성·재수행매핑" sheetId="7" r:id="rId7"/>
    <sheet name="8_변경이력" sheetId="8" r:id="rId8"/>
  </sheets>
  <definedNames>
    <definedName name="_xlnm._FilterDatabase" localSheetId="1" hidden="1">'2_Agent기능정의'!$A$1:$M$21</definedName>
    <definedName name="_xlnm._FilterDatabase" localSheetId="2" hidden="1">'3_입출력변수명세'!$A$1:$K$159</definedName>
    <definedName name="_xlnm._FilterDatabase" localSheetId="5" hidden="1">'6_오류코드'!$A$1:$E$30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2" i="1" l="1"/>
  <c r="B61" i="1"/>
  <c r="B60" i="1"/>
  <c r="B59" i="1"/>
  <c r="B58" i="1"/>
  <c r="B57" i="1"/>
  <c r="B56" i="1"/>
  <c r="B63" i="1" s="1"/>
  <c r="B64" i="1" s="1"/>
</calcChain>
</file>

<file path=xl/sharedStrings.xml><?xml version="1.0" encoding="utf-8"?>
<sst xmlns="http://schemas.openxmlformats.org/spreadsheetml/2006/main" count="4600" uniqueCount="1949">
  <si>
    <t>S-Brain — Agent별 기능 정의서</t>
  </si>
  <si>
    <t>S-Brain Agent 기능 정의서 v1.9</t>
  </si>
  <si>
    <t>출처 문서</t>
  </si>
  <si>
    <t>프로젝트 기획서 v1.10 (4-1 진입 순서와 입력 방식, 4-2 서비스 기능 구성, 4-3 Agent 구성, 4-4 실행 순서와 Task 구성, 4-5 2층 검증 구조와 판정·점검 구분, 4-6 구현 제약, 4-7 유스케이스 워크플로우, 5-1~5-8, 6-1~6-8, 7-1 R&amp;R) · 담당자 협의 답변(2026-09-22)</t>
  </si>
  <si>
    <t>대상 범위</t>
  </si>
  <si>
    <t>Agent 7종(조율 1 + 실행 6) · 고정 Task 14개. 원페이지 카테고리는 실행 파일 Task 생략으로 13개이며, 산출물층 코드 검증은 별도 체크리스트로 분기한다</t>
  </si>
  <si>
    <t>작성 기준일</t>
  </si>
  <si>
    <t>2026-09-07 (v1.1 2026-09-08 · v1.2~v1.5 2026-09-09 · v1.6 2026-09-18 · v1.7~v1.8 2026-09-22 · v1.9 2026-09-23)</t>
  </si>
  <si>
    <t>주의</t>
  </si>
  <si>
    <t>본 문서의 점수 · Threshold는 관리자 설정값의 기본값 기준이다 (기획서 5-6). 횟수와 간격은 아래 '횟수 · 간격 설정값' 표에만 값을 적고, 다른 시트에서는 이름으로만 부른다 (기획서 5-8).</t>
  </si>
  <si>
    <t>시트 구성</t>
  </si>
  <si>
    <t>2_Agent기능정의</t>
  </si>
  <si>
    <t>Task 14개를 실행 순서대로 배치하고, Task로 계상되지 않는 항목 6건은 No를 "-"로 두고 표 맨 아래에 모았다. A열 No는 단순 일련번호이며 실행 순서는 F열을 본다. 검증-1(T-V1)이 구현 Task보다 먼저 실행된다 (4-4).</t>
  </si>
  <si>
    <t>3_입출력변수명세</t>
  </si>
  <si>
    <t>2번 시트의 IN · OUT을 변수 1건 = 1행으로 펼친 시트. 한글명 · 필수여부 · 설명 · 예시값이 여기에 있다. 기능 ID 셀은 담당 Agent 색으로 구분된다.</t>
  </si>
  <si>
    <t>4_타입정의</t>
  </si>
  <si>
    <t>복합 타입의 필드 정의. 2번 · 3번 시트에 등장하는 모든 대문자 타입이 여기에 정의되어 있다.</t>
  </si>
  <si>
    <t>5_규칙모듈</t>
  </si>
  <si>
    <t>LLM을 호출하지 않고 직접 구현하는 로직 11종 (기획서 5-1, 5-8). 2번 시트의 M열에서 참조한다.</t>
  </si>
  <si>
    <t>6_오류코드</t>
  </si>
  <si>
    <t>2번 시트의 Failure 로직에 등장하는 오류 코드 목록과 사용자 노출 문구.</t>
  </si>
  <si>
    <t>7_재작성·재수행매핑</t>
  </si>
  <si>
    <t>묶음을 고르면 무엇을 다시 돌리는지(사용자 재작성)와, 검사를 통과하지 못하면 무엇을 다시 만드는지(검사 미통과 재수행)의 대응표. R-6의 failedTaskIds · reworkOrders 산정 근거. 카테고리별로 대상 Task가 갈린다.</t>
  </si>
  <si>
    <t>8_변경이력</t>
  </si>
  <si>
    <t>v1부터 v1.9까지 무엇을 왜 바꿨는지의 목록.</t>
  </si>
  <si>
    <t>타입 표기 규칙</t>
  </si>
  <si>
    <t>표기</t>
  </si>
  <si>
    <t>의미</t>
  </si>
  <si>
    <t>string / int / float / bool</t>
  </si>
  <si>
    <t>기본 스칼라 타입</t>
  </si>
  <si>
    <t>date</t>
  </si>
  <si>
    <t>ISO-8601 날짜 (YYYY-MM-DD)</t>
  </si>
  <si>
    <t>datetime</t>
  </si>
  <si>
    <t>ISO-8601 일시 (YYYY-MM-DDThh:mm:ssZ)</t>
  </si>
  <si>
    <t>enum('A','B')</t>
  </si>
  <si>
    <t>허용값이 고정된 열거형. 괄호 안이 전체 허용값</t>
  </si>
  <si>
    <t>Type[]</t>
  </si>
  <si>
    <t>해당 타입의 배열. Type[3]은 길이 3 고정</t>
  </si>
  <si>
    <t>Type?</t>
  </si>
  <si>
    <t>null 허용</t>
  </si>
  <si>
    <t>float(0~1)</t>
  </si>
  <si>
    <t>괄호 안은 값의 범위 제약</t>
  </si>
  <si>
    <t>대문자로 시작하는 타입</t>
  </si>
  <si>
    <t>복합 타입. 필드 정의는 시트 [4_타입정의] 참조</t>
  </si>
  <si>
    <t>호출 · 재호출 표기 규칙</t>
  </si>
  <si>
    <t>호출 조건 (G열)</t>
  </si>
  <si>
    <t>이 Task가 처음 실행되는 시점과 1회 실행 여부.</t>
  </si>
  <si>
    <t>재호출 조건 · 상한 (H열)</t>
  </si>
  <si>
    <t>아래 다섯 가지를 구분해 적는다. 횟수와 간격은 '횟수 · 간격 설정값' 표의 이름으로 부르고, 값은 그 표에만 적는다 (기획서 5-6, 5-7, 5-8).</t>
  </si>
  <si>
    <t>재작성</t>
  </si>
  <si>
    <t>사용자가 화면(문서 평가 · 산출물 확인 · 종합 평가)에서 묶음을 골라 다시 만들게 하는 것. 계획서와 프로토타입에 같이 쓰고, '재제작'은 버튼 문구로만 쓴다. 묶음마다 재작성 횟수까지이며 세 화면이 같은 횟수를 쓰고 첫 실행은 세지 않는다. 점수가 기준에 못 미쳐도 자동으로 재작성하지 않는다 (R-6).</t>
  </si>
  <si>
    <t>재수행</t>
  </si>
  <si>
    <t>결과가 검사를 통과하지 못해 시스템이 다시 만드는 것. 재수행 횟수까지 하고, 그래도 통과하지 못하면 그대로 다음 단계로 보낸다. 예외 여섯 곳(T-S1 · T-S2 · T-W1 · T-W2 · T-W3 · T-P2)은 정해 둔 확정 동작을 따른다(시트 7). 루프(횟수 세기와 다시 부르기)는 조율이, 검사와 확정 동작은 각 Agent가 맡는다.</t>
  </si>
  <si>
    <t>재시도</t>
  </si>
  <si>
    <t>호출이 실패하거나, 응답이 늦거나(제한 시간 초과), 응답 형식(JSON 등)이 깨져서 같은 호출을 다시 보내는 것. 재시도 횟수까지 한다 (R-11).</t>
  </si>
  <si>
    <t>재개</t>
  </si>
  <si>
    <t>재시도를 다 써서 멈춘 실행을, 시간을 두고 실패한 지점부터 다시 하는 것. 일시 오류일 때만 하며, 재개 상한을 넘기거나 영구 오류가 나면 실행을 실패로 끝낸다 (R-11).</t>
  </si>
  <si>
    <t>재채점</t>
  </si>
  <si>
    <t>다시 만든 산출물을 검증이 다시 채점하는 것. 횟수를 세지 않는다.</t>
  </si>
  <si>
    <t>상한 초과 시</t>
  </si>
  <si>
    <t>반드시 확정 동작을 적었다. 무한 반복으로 비용이 발산하지 않게 하는 것이 원칙이므로, 상한을 넘긴 뒤 무엇으로 확정할지(그대로 보냄 포함)가 비어 있으면 안 된다.</t>
  </si>
  <si>
    <t>횟수 · 간격 설정값</t>
  </si>
  <si>
    <t>설정값</t>
  </si>
  <si>
    <t>적용과 비고</t>
  </si>
  <si>
    <t>기본값</t>
  </si>
  <si>
    <t>재작성 횟수</t>
  </si>
  <si>
    <t>사용자가 고른 묶음을 다시 만들 수 있는 횟수. 문서 평가 · 산출물 확인 · 종합 평가 세 화면이 같은 횟수를 쓰고, 첫 실행은 세지 않는다. 재작성이 실패하면 쓴 기회를 돌려준다. 비즈니스 모델에 따라 추가 횟수가 정해질 수 있다 (R-6, BundleUsage)</t>
  </si>
  <si>
    <t>묶음마다 1회</t>
  </si>
  <si>
    <t>재수행 횟수</t>
  </si>
  <si>
    <t>검사를 통과하지 못한 결과를 시스템이 다시 만드는 횟수. 넘기면 그대로 보내고, 예외 여섯 곳은 확정 동작을 따른다 (시트 7)</t>
  </si>
  <si>
    <t>2회</t>
  </si>
  <si>
    <t>검수 재수행 횟수</t>
  </si>
  <si>
    <t>표현 검수에서 보호 토큰 검사를 통과하지 못한 문장을 다시 만드는 횟수. 넘기면 원문을 유지한다. 테스트한 뒤 따로 둘지 정한다 (T-P2, R-5)</t>
  </si>
  <si>
    <t>재수행 횟수와 같음</t>
  </si>
  <si>
    <t>재시도 횟수</t>
  </si>
  <si>
    <t>호출 실패 · 응답 지연 · 응답 형식 오류 때 같은 호출을 다시 보내는 횟수. 재개할 때마다 다시 채운다 (R-11)</t>
  </si>
  <si>
    <t>5회</t>
  </si>
  <si>
    <t>재시도 간격</t>
  </si>
  <si>
    <t>재시도 사이에 기다리는 시간 (R-11)</t>
  </si>
  <si>
    <t>구현하면서 정함</t>
  </si>
  <si>
    <t>제한 시간</t>
  </si>
  <si>
    <t>Task(또는 함수)별 응답 대기 시간. 넘기면 응답 지연으로 보고 재시도한다 (R-11)</t>
  </si>
  <si>
    <t>재개 첫 간격</t>
  </si>
  <si>
    <t>재시도를 다 쓴 뒤 첫 재개까지 기다리는 시간 (R-11)</t>
  </si>
  <si>
    <t>15분</t>
  </si>
  <si>
    <t>재개 간격 배수</t>
  </si>
  <si>
    <t>재개할 때마다 앞 간격에 곱해 간격을 늘린다 (R-11)</t>
  </si>
  <si>
    <t>2배</t>
  </si>
  <si>
    <t>재개 횟수</t>
  </si>
  <si>
    <t>재개할 수 있는 최대 횟수. 일시 오류일 때만 재개한다 (R-11)</t>
  </si>
  <si>
    <t>5번</t>
  </si>
  <si>
    <t>재개 총 대기 상한</t>
  </si>
  <si>
    <t>재개 대기와 재개 실행 시간을 모두 합한 바깥 상한. 재개 횟수나 이 상한을 넘기면 실행을 실패로 끝낸다 (R-11)</t>
  </si>
  <si>
    <t>12시간</t>
  </si>
  <si>
    <t>검수 동시 처리 수</t>
  </si>
  <si>
    <t>표현 검수에서 문장을 병렬로 처리하는 수. 자체 GPU 서버 처리량에 맞춘다 (T-P2)</t>
  </si>
  <si>
    <t>검수 실패 비율 기준</t>
  </si>
  <si>
    <t>호출이 실패한 문장의 비율이 이 기준을 넘으면 원문 유지 대신 재개한다. 모든 문장을 본 뒤 판단할지, 연속 실패가 나오면 바로 판단할지도 함께 정한다 (T-P2, R-11)</t>
  </si>
  <si>
    <t>※ 실행 중에는 실행을 시작할 때의 값(Run.settingsSnapshot)을 끝까지 쓴다.</t>
  </si>
  <si>
    <t>Agent별 Task 수</t>
  </si>
  <si>
    <t>Agent</t>
  </si>
  <si>
    <t>Task 수</t>
  </si>
  <si>
    <t>비고</t>
  </si>
  <si>
    <t>조율</t>
  </si>
  <si>
    <t>요구사항 해석 / 공고 매칭 / 작업 분해</t>
  </si>
  <si>
    <t>전략</t>
  </si>
  <si>
    <t>요구사항 분석 / 목표 시장 분석</t>
  </si>
  <si>
    <t>작성</t>
  </si>
  <si>
    <t>본문 작성 / 그래프 생성 / 표 생성</t>
  </si>
  <si>
    <t>구현</t>
  </si>
  <si>
    <t>실행 파일(HTML) 제작 / 인포그래픽 제작</t>
  </si>
  <si>
    <t>검증-1</t>
  </si>
  <si>
    <t>사업계획서 검증</t>
  </si>
  <si>
    <t>검증-2</t>
  </si>
  <si>
    <t>프로토타입 검증</t>
  </si>
  <si>
    <t>검수</t>
  </si>
  <si>
    <t>문장 형식 검수 / 한국어 문장 윤문</t>
  </si>
  <si>
    <t>합계</t>
  </si>
  <si>
    <t>기획서 4-4 합계 14개와 일치해야 함</t>
  </si>
  <si>
    <t>일치 여부</t>
  </si>
  <si>
    <t>※ No가 "-"인 6건(G-01 자격요건 게이트 · G-02a 문서 평가 판정 · G-02b 종합 평가 판정 · G-03 보호 토큰 추출 · G-04 실행 안내 문서 생성 · T-C4 결과 통합)은 기획서 4-4의 고정 Task 14개에 계상되지 않아 위 합계에서 제외된다.</t>
  </si>
  <si>
    <t>Agent 색 범례</t>
  </si>
  <si>
    <t>색</t>
  </si>
  <si>
    <t>해당 Agent와 Task ID</t>
  </si>
  <si>
    <t>T-C1 · T-C2 · T-C3 · T-C4 · G-01 · G-02a · G-02b · G-04</t>
  </si>
  <si>
    <t>T-S1 요구사항 분석 · T-S2 목표 시장 분석</t>
  </si>
  <si>
    <t>T-W1 본문 작성 · T-W2 그래프 생성 · T-W3 표 생성</t>
  </si>
  <si>
    <t>T-B1 실행 파일(HTML) 제작 · T-B2 인포그래픽 제작</t>
  </si>
  <si>
    <t>T-V1 사업계획서 검증 (문서층 70점)</t>
  </si>
  <si>
    <t>T-V2 프로토타입 검증 (산출물층 30점) — 검증-1과 같은 색을 쓴다</t>
  </si>
  <si>
    <t>T-P1 문장 형식 검수 · T-P2 한국어 문장 윤문 · G-03 보호 토큰 추출</t>
  </si>
  <si>
    <t>※ 2번 시트의 Agent · Task ID 열, 3번 시트의 기능 ID · Agent 열, 5~7번 시트의 Task ID 셀에 같은 색 규칙을 적용했다.</t>
  </si>
  <si>
    <t>No</t>
  </si>
  <si>
    <t>구분</t>
  </si>
  <si>
    <t>Task ID</t>
  </si>
  <si>
    <t>기능명</t>
  </si>
  <si>
    <t>실행
순서</t>
  </si>
  <si>
    <t>호출 조건 / 호출 횟수</t>
  </si>
  <si>
    <t>재호출 조건 · 상한</t>
  </si>
  <si>
    <t>IN (변수명: 타입)</t>
  </si>
  <si>
    <t>OUT (변수명: 타입)</t>
  </si>
  <si>
    <t>Success 로직</t>
  </si>
  <si>
    <t>Failure 로직</t>
  </si>
  <si>
    <t>기획서 근거</t>
  </si>
  <si>
    <t>Task</t>
  </si>
  <si>
    <t>T-C1</t>
  </si>
  <si>
    <t>요구사항 해석</t>
  </si>
  <si>
    <t>사전 정보 입력 폼 제출 시 1회. 대화형 입력과 실행 중 되묻기는 두지 않는다 (4-1).</t>
  </si>
  <si>
    <t>재작성 · 재수행 대상 아님. 필수 항목은 폼 제출 단계에서 검사되므로 입력 부족으로 재호출하지 않는다 (4-1).
호출 실패 · 응답 지연 · 응답 형식 오류 → 재시도(재시도 횟수). 넘기면 재개하지 않고 진입 전 상태로 되돌린 뒤 다시 시도하도록 안내한다. 아직 실행 건이 없기 때문이다 (E-C1-TIMEOUT, R-11).</t>
  </si>
  <si>
    <t>formInput: PreInput  // 불러온 마이페이지 프로필 값 + 프로젝트 작성란 입력
referenceDocs: ReferenceDoc[]?  // 첨부 문서. R-8이 추출한 텍스트</t>
  </si>
  <si>
    <t>itemSpec: ItemSpec
category: enum('원페이지','웹개발','AI_API')  // itemSpec.category와 같은 값. 화면 비노출
companyInfo: CompanyInfo
categoryReason: string
confidence: float(0~1)?  // 로그 전용
referenceSummary: ReferenceSummary?  // 첨부에서 정리한 참조 자료</t>
  </si>
  <si>
    <t>폼으로 받은 값에서 아이템 명세와 신청자 · 회사 정보(companyInfo)를 구성하고 카테고리를 판정한다. companyInfo는 폼 값을 코드로 그대로 옮기고 LLM에 맡기지 않는다. 수익모델 단가나 경력을 AI가 바꾸지 못하게 하기 위해서다 (4-6). 필수 항목은 폼 제출 시 검사되므로 이 단계에서 되묻지 않는다. 신청자 정보의 필수 항목은 마이페이지 프로필에서 채워진다. 프로젝트를 만들 때 '내 정보 불러오기'로 고른 프로필(계정당 최대 3개)의 값이 폼에 들어온다. 처음 로그인한 사용자는 프로필을 하나 이상 만들어야 서비스를 이용할 수 있고, 프로필을 모두 지우면 다시 만들 때까지 새 실행을 시작할 수 없다 (4-2 ⓪-1, E-AUTH-PROFILE).
첨부 문서가 있으면 R-8이 추출한 텍스트를 참조 자료로 정리한다. 원문을 그대로 후속 Task 지시에 싣지 않고 필요한 조각만 슬롯으로 나눈다. 문서 한 건이 수십 페이지에 이를 수 있어 매 Task마다 전문을 실으면 컨텍스트와 비용을 감당할 수 없다 (4-6).
참조 자료는 데이터이지 지시가 아니다. 문서에 담긴 명령형 문장을 후속 Agent가 지시로 해석하지 않도록 격리 표기해 전달한다.
categoryReason은 화면에 노출하지 않는다. 업종 · 카테고리 판정은 내부 처리이며, 사용자가 확인하거나 수정하는 단계를 두면 카테고리를 선택 UI로 노출하지 않는다는 원칙이 무너진다 (4-2).</t>
  </si>
  <si>
    <t>① 필수 항목 결측 → 폼 단계에서 차단한다. Task는 실행되지 않는다 (E-C1-REQUIRED).
② 첨부 텍스트 추출 실패 → 해당 문서를 참조 대상에서 제외하고 사용자에게 알린다. 파이프라인은 첨부 없이 진행한다 (E-C1-DOC).
③ 카테고리 판정 실패 → 웹개발로 기본 처리하고 로그에 기록한다. 판정 실패로 파이프라인을 중단하지 않는다.
④ 진행 중인 실행이 있으면 새 실행을 시작하지 않는다. R-9가 이어하기와 중단 후 시작 중 선택하게 한다 (E-RUN-CONCURRENT).
⑤ 첨부 원본은 텍스트 추출 직후 파기한다. 서비스가 필요로 하는 것은 본문 텍스트뿐이다 (6-7).
⑥ 호출 실패 · 응답 지연 · 응답 형식 오류 → 재시도 횟수를 넘기면 재개하지 않고 진입 전 상태로 되돌린 뒤 다시 시도하도록 안내한다 (E-C1-TIMEOUT, R-11).</t>
  </si>
  <si>
    <t>4-1, 4-2, 4-6, 5-8</t>
  </si>
  <si>
    <t>T-C2</t>
  </si>
  <si>
    <t>공고 매칭</t>
  </si>
  <si>
    <t>itemSpec 확정 직후 1회. 사용자가 추가 조회 버튼을 누르면 offset=10으로 1회 재호출한다. 제시 상한이 20건이므로 추가 조회는 1회로 끝난다 (4-2②).</t>
  </si>
  <si>
    <t>재작성 · 재수행 대상 아님. 추가 조회는 사용자 조작이며, 20건에 이르면 추가 조회 버튼을 비활성화한다.
검색 오류 시 재시도(재시도 횟수)하고, 넘기면 재개하지 않고 폴백한다 (R-11). 임베딩 검색 오류면 BM25 단독 순위, BM25 검색 오류면 임베딩 단독 순위, 둘 다 실패하면 마감 임박순이다(뒤의 두 규칙은 잠정).</t>
  </si>
  <si>
    <t>itemSpec: ItemSpec
companyInfo: CompanyInfo  // 희망 지역 · 주 업종 포함. 순위 반영용
today: date
topK: int  // 기본 10. 카드 3 + 리스트 7
offset: int  // 0 | 10. 누적 최대 20건</t>
  </si>
  <si>
    <t>candidates: AnnouncementCard[]  // 길이 &lt;= 10. 상위 3건 card, 나머지 list
collectionStatus: enum('정상','지연','실패')
filteredCount: int
fallbackUsed: bool
fallbackMode: enum('BM25단독','임베딩단독','마감임박순')?  // fallbackUsed=true일 때만</t>
  </si>
  <si>
    <t>정형 필터(모집 상태 · 접수기간 · 지원대상 유형 · 업력 상한)를 먼저 적용하고, 통과 집합 안에서만 하이브리드 서치(임베딩 검색 + BM25 단어 검색, RRF 순위 통합)로 순위를 매겨 첫 조회에서 상위 10건을 반환한다. 상위 3건은 적합도와 함께 카드로, 나머지 7건은 리스트로 제시하고, 추가 조회 시 다음 순위 10건을 더해 최대 20건까지 보여준다. 모든 candidates.applyEnd &gt;= today. 전체 목록은 노출하지 않으며, 사용자가 1건을 선택하면 이후 작업이 해당 공고 기준으로 고정된다 (5-3).
희망 지역 · 주 업종은 정형 필터에 넣지 않고 순위에만 반영한다. 반영 방식은 하이브리드 서치 구현 시 확정한다. 게이트도 지역을 대조하지 않으므로 다른 지역 한정 공고가 후보에 남을 수 있으며, 보완 방안은 미확정이다 (4-2, 5-3).
사용자가 공고를 누르면 가산점 정보(Announcement.bonusInfo)를 적합도의 근거 자료로 보여준다. 가산점은 모든 공고에 붙는 조건이 아니며, 자격요건 게이트의 통과 · 불통과 판정과는 별개의 참고 정보다 (4-2②). 가산점 정보는 공고 본문에서 가져오며, LLM으로 채점하는 방식을 검토 중이다.
카드에는 출처 고지와 원문 공고 링크를 함께 담는다. 적합도와 매칭 사유는 원문 그대로가 아니라 모델이 요약·판단한 결과이므로, 사용자가 공고 원문으로 오해하면 신청 자격이나 지원 규모를 잘못 이해할 수 있다 (6-1).</t>
  </si>
  <si>
    <t>① 필터 통과 후보 0건 → 빈 배열 반환. 조건을 임의로 넓히지 않고 사전 정보 수정을 안내한다 (E-C2-NOMATCH, 4-7 E2).
② collectionStatus='실패' 또는 최종 수집 시각이 24시간 초과 → 매칭을 진행하지 않고 수집 상태 경고를 표시한다. 옛 데이터로 조용히 동작하지 않게 한다.
③ 임베딩(의미) 검색 오류가 재시도로 풀리지 않으면 → BM25(단어) 검색 결과로 제시한다 (5-3). BM25 검색 오류 → 임베딩 단독 순위, 둘 다 실패 → 마감 임박순으로 폴백한다(잠정). fallbackUsed=true와 fallbackMode를 화면에 표시한다. 정형 필터 생략은 허용하지 않는다 (E-C2-EMBED).</t>
  </si>
  <si>
    <t>4-2②, 5-3, 5-8, 6-3</t>
  </si>
  <si>
    <t>T-C3</t>
  </si>
  <si>
    <t>작업 분해</t>
  </si>
  <si>
    <t>자격 게이트 통과 후 1회. 재작성 · 재수행(5-6) 시에는 재호출하지 않고 기존 taskPlan을 재사용한다.</t>
  </si>
  <si>
    <t>재호출하지 않는다. 재작성 · 재수행 사이클에서는 기존 taskPlan을 재사용하고 대상 Task의 지시문만 다시 만든다.
게이트 불통과는 재호출이 아니라 공고 선택 단계로의 회귀다.
호출 실패 · 응답 지연 · 응답 형식 오류 → 재시도, 넘기면 재개, 재개 상한 초과 → 실행 실패 (R-11).</t>
  </si>
  <si>
    <t>selectedAnnouncement: Announcement
itemSpec: ItemSpec
gateResult: GateResult  // passed=true 필수
companyInfo: CompanyInfo  // 수익모델 단가 · 팀 구성원 · 대표자 이력 포함
referenceSummary: ReferenceSummary?  // 첨부 참조 자료</t>
  </si>
  <si>
    <t>taskPlan: TaskPlan
taskCount: int  // 13 | 14
instructionSet: TaskInstruction[]</t>
  </si>
  <si>
    <t>고정 Task 목록에서 카테고리별 세트를 선택해 원페이지 13건, 웹개발 · AI API 14건을 생성한다. 각 TaskInstruction.context에 양식 버전, 접수 마감일(일정 기준선), 지원규모 상한(자금운용 상한), 평가항목, 검수용 서술 형식이 주입되어 있어야 한다. 최종 목표는 공고마다 요구하는 서술 형식을 싣는 것이고, 이번 범위에서는 양식 · 평가항목 · rubric을 신청자 유형에 따라 미리 정해 둔 것 중에서 고른다 (4-4, 6-4). Task 목록 자체는 고정이고 지시문만 실행 시점에 생성된다.
첨부 참조 자료가 있으면 전략 · 작성 · 구현 Task의 지시에 필요한 조각만 격리 표기해 싣는다. 첨부 처리는 지시 생성에 포함되므로 Task 수는 바뀌지 않는다 (4-4).</t>
  </si>
  <si>
    <t>① gateResult.passed=false → 분해를 거부하고 게이트 결과 화면으로 회귀한다.
② 수익모델 단가 · 팀 구성원 · 대표자 이력 등 필수 입력 누락 → 마이페이지와 사전 정보 입력 단계에서 차단되므로 정상 흐름에서는 발생하지 않는다. 발생하면 분해를 중단하고 오류로 기록한다. 이 값들은 AI가 생성하지 않는다(4-6).
③ category는 T-C1에서 판정에 실패해도 웹개발로 기본 처리되어 넘어오므로 미판정 상태가 없다. 값이 비어 있으면 분해 실패로 처리한다.
④ 양식 정보 누락 → 이번 범위에서는 양식을 신청자 유형으로 고르므로 정상 흐름에서는 발생하지 않는다. 방어용으로 남기며, 발생하면 분해 실패로 처리하고 오류로 기록한다 (E-C3-FORM).
⑤ 호출 실패 · 응답 지연 · 응답 형식 오류 → R-11(재시도 → 재개 → 실패).
※ 부족 정보 되묻기 분기는 삭제되었다. 필요한 값은 사전 정보 입력에서 모두 확보된 상태다 (4-1).</t>
  </si>
  <si>
    <t>4-4, 4-6, 5-8, 6-4</t>
  </si>
  <si>
    <t>T-S1</t>
  </si>
  <si>
    <t>요구사항 분석</t>
  </si>
  <si>
    <t>taskPlan 실행 시 1회. 검사를 통과하지 못하면 조율이 재수행으로 다시 호출한다. 사용자 재작성 대상이 아니다.</t>
  </si>
  <si>
    <t>사용자 재작성 대상이 아니다. 기능 목록이 재작성으로 바뀌지 않게 하기 위해서다 (4-7).
검사 미통과 재수행 — 재수행 횟수까지. 넘기면 itemSpec.coreFeatures를 승계해 featureList를 확정한다(확정 동작). 빈 목록으로 넘기지 않는다.
호출 실패 · 응답 지연 · 응답 형식 오류 → R-11(재시도 → 재개 → 실패).</t>
  </si>
  <si>
    <t>itemSpec: ItemSpec
selectedAnnouncement: Announcement
instruction: string
reworkInput: ReworkInput?  // 재수행일 때만. 기존 결과 + 문제가 된 내용</t>
  </si>
  <si>
    <t>requirementAnalysis: RequirementAnalysis
featureList: string[]  // 이후 전 공정의 기준 기능 목록
check: CheckResult  // 검사 결과. 조율이 재수행 여부를 정한다</t>
  </si>
  <si>
    <t>featureList가 1건 이상이며 itemSpec.coreFeatures를 모두 포함한다(누락 0). featureList는 검증-2의 대조 기준이자 보호 토큰 "기능명"의 원본이 되므로 확정 이후 다른 Agent가 변경할 수 없다.</t>
  </si>
  <si>
    <t>① featureList가 비었거나 coreFeatures를 누락 → check.passed=false로 돌려주고 조율이 재수행한다.
② 재수행 횟수를 넘김 → itemSpec.coreFeatures를 그대로 승계해 featureList를 채운다(확정 동작). 빈 목록으로 다음 단계에 넘기지 않는다(대조 불가 방지).
③ 호출 실패 · 응답 지연 · 응답 형식 오류 → R-11(재시도 → 재개 → 실패).</t>
  </si>
  <si>
    <t>4-3, 4-4, 5-6, 5-7</t>
  </si>
  <si>
    <t>T-S2</t>
  </si>
  <si>
    <t>목표 시장 분석</t>
  </si>
  <si>
    <t>T-S1 완료 후 1회. 검사를 통과하지 못하면 조율이 재수행으로 다시 호출한다. 사용자 재작성 대상이 아니다.</t>
  </si>
  <si>
    <t>사용자 재작성 대상이 아니다 (4-7).
검사 미통과 재수행 — 재수행 횟수까지. 넘기면 출처 없는 수치를 모두 제거하고 정성 서술만으로 확정한다(확정 동작).
호출 실패 · 응답 지연 · 응답 형식 오류 → R-11(재시도 → 재개 → 실패).</t>
  </si>
  <si>
    <t>itemSpec: ItemSpec
requirementAnalysis: RequirementAnalysis
selectedAnnouncement: Announcement
instruction: string
reworkInput: ReworkInput?  // 재수행일 때만</t>
  </si>
  <si>
    <t>marketAnalysis: MarketAnalysis
numericTokens: Token[]  // 보호 토큰(수치·금액) 후보. G-03 입력
check: CheckResult</t>
  </si>
  <si>
    <t>marketAnalysis.marketSize의 각 항목에 sourceName이 비어 있지 않다. 산출된 수치는 보호 토큰 후보로 등록되고(numericTokens → G-03) 이후 검수 단계에서 변조가 차단된다.</t>
  </si>
  <si>
    <t>① 출처 없는 수치 포함 → 해당 항목을 check.failures에 담아 돌려주고 조율이 재수행한다.
② 재수행 횟수를 넘김 → 수치를 모두 제거하고 정성 서술만 남긴다(확정 동작). 근거 없는 수치를 계획서에 남기지 않는다.
③ 호출 실패 · 응답 지연 · 응답 형식 오류 → R-11(재시도 → 재개 → 실패).</t>
  </si>
  <si>
    <t>4-3, 5-6, 5-7</t>
  </si>
  <si>
    <t>T-W1</t>
  </si>
  <si>
    <t>사업계획서 본문 작성</t>
  </si>
  <si>
    <t>T-S2 완료 후 1회. 사용자가 재작성을 요청하면 고른 묶음만 다시 호출하고, 검사를 통과하지 못하면 해당 섹션만 재수행으로 다시 호출한다.</t>
  </si>
  <si>
    <t>재작성 대상. 단위는 묶음(계획서 항목을 묶은 단위)이며 묶음마다 재작성 횟수까지다. 문서 평가 · 산출물 확인 · 종합 평가가 같은 횟수를 쓴다.
검사 미통과 재수행 — 단위는 섹션, 재수행 횟수까지. 넘기면 입력에 없는 경력 서술과 지원규모 상한을 넘는 금액 서술을 지우고 사용자에게 알린다(확정 동작, E-W1-REMOVED). 그 밖의 검사 항목은 그대로 보낸다.
호출 실패 · 응답 지연 · 응답 형식 오류 → R-11(재시도 → 재개 → 실패).</t>
  </si>
  <si>
    <t>requirementAnalysis: RequirementAnalysis
marketAnalysis: MarketAnalysis
selectedAnnouncement: Announcement
companyInfo: CompanyInfo
formSpec: FormSpec
instruction: string
reworkInput: ReworkInput?  // 재작성 · 재수행일 때만</t>
  </si>
  <si>
    <t>planDoc: PlanDoc
sections: PlanSection[]
featureList: string[]  // T-S1 값 승계
check: CheckResult</t>
  </si>
  <si>
    <t>양식(formSpec)의 필수 항목 코드가 sections에 1:1로 존재하고 각 섹션이 최소 분량을 충족한다. 양식 3-3 일정 서술의 기준선이 selectedAnnouncement.applyEnd를 넘지 않고, 자금운용 합계가 supportAmountMax 이하다.</t>
  </si>
  <si>
    <t>① 필수 섹션 누락 또는 자금 합계 초과 → check.passed=false로 돌려주고 조율이 해당 섹션만 재수행한다. 전체 파이프라인은 다시 돌리지 않는다. 재수행 횟수를 넘겨도 자금 합계가 상한을 넘으면 상한을 넘는 금액 서술을 지우고 사용자에게 알린다(확정 동작, E-W1-REMOVED). 필수 섹션 누락은 그대로 보낸다.
② 팀 구성 · 대표자 경력 서술에 입력되지 않은 경력이 생성된 흔적이 있으면 해당 서술을 폐기하고 해당 섹션만 재수행한다. 재수행 횟수를 넘겨도 남으면 그 서술을 지우고 사용자에게 알린다(확정 동작, E-W1-REMOVED). 수익모델 단가와 경력은 companyInfo의 값만 쓴다 (4-6).
③ featureList를 임의로 추가·변경하면 대조 기준이 깨지므로 변경분을 롤백한다.
④ 호출 실패 · 응답 지연 · 응답 형식 오류 → R-11(재시도 → 재개 → 실패).</t>
  </si>
  <si>
    <t>4-4, 4-5, 4-6, 5-6</t>
  </si>
  <si>
    <t>T-W2</t>
  </si>
  <si>
    <t>그래프 생성</t>
  </si>
  <si>
    <t>T-W1 완료 후 1회. 차트가 필요한 섹션 수만큼 내부 반복. 재작성하면 고른 묶음에 속한 차트만 다시 만든다.</t>
  </si>
  <si>
    <t>재작성 대상(묶음 단위, T-W1과 함께).
검사 미통과 재수행 — 단위는 차트 1건, 재수행 횟수까지. 넘기면 해당 차트를 폐기하고 본문의 차트 참조 문구를 함께 제거한다(확정 동작).
호출 실패 · 응답 지연 · 응답 형식 오류 → R-11(재시도 → 재개 → 실패).</t>
  </si>
  <si>
    <t>planDoc: PlanDoc
marketAnalysis: MarketAnalysis
instruction: string
reworkInput: ReworkInput?  // 재작성 · 재수행일 때만</t>
  </si>
  <si>
    <t>charts: ChartSpec[]
check: CheckResult</t>
  </si>
  <si>
    <t>각 차트의 series 값이 planDoc · marketAnalysis의 원본 수치와 일치하고(재계산 대조), sourceRef가 채워져 있다.
생성 직후 series 값을 원본에서 재계산해 대조하는 검사를 Task 내부에서 수행한다. 수치 일치는 재계산으로 판정 가능한 규칙 검사이므로 rubric 기반 LLM 채점(T-V1)에 맡기지 않는다 (5-5).</t>
  </si>
  <si>
    <t>① 본문에 없는 수치가 생성되면 check.passed=false로 돌려주고 조율이 그 차트만 재수행한다. 재수행 횟수를 넘기면 해당 차트를 폐기한다(확정 동작).
② 데이터 부족으로 차트를 만들 수 없으면 빈 배열을 반환하고 본문의 차트 참조 문구를 함께 제거한다. 참조만 남은 상태로 넘기지 않는다.
③ 호출 실패 · 응답 지연 · 응답 형식 오류 → R-11(재시도 → 재개 → 실패).</t>
  </si>
  <si>
    <t>4-4, 5-6</t>
  </si>
  <si>
    <t>T-W3</t>
  </si>
  <si>
    <t>표 생성</t>
  </si>
  <si>
    <t>T-W1 완료 후 1회. 표가 필요한 섹션 수만큼 내부 반복. 재작성하면 고른 묶음에 속한 표만 다시 만든다.</t>
  </si>
  <si>
    <t>재작성 대상(묶음 단위, T-W1과 함께).
검사 미통과 재수행 — 단위는 표 1건, 재수행 횟수까지. 넘기면 표를 제거하고 본문 서술로 대체한다(확정 동작). 값이 틀린 표를 남기지 않는다.
호출 실패 · 응답 지연 · 응답 형식 오류 → R-11(재시도 → 재개 → 실패).</t>
  </si>
  <si>
    <t>planDoc: PlanDoc
companyInfo: CompanyInfo
selectedAnnouncement: Announcement
instruction: string
reworkInput: ReworkInput?  // 재작성 · 재수행일 때만</t>
  </si>
  <si>
    <t>tables: TableSpec[]
check: CheckResult</t>
  </si>
  <si>
    <t>일정표의 기준선이 applyEnd 이내이고 자금운용표 합계가 supportAmountMax 이하다. headers 길이와 각 row 길이가 일치한다.
표 합계와 일정 기준선(announcement.applyEnd) 위반 여부를 Task 내부에서 자체 검사한다. 판정 위치를 T-V1에 두면 rubric 밖 기준으로 감점하게 되어 5-5와 충돌한다.</t>
  </si>
  <si>
    <t>① 합계 불일치 또는 기준선 위반 → check.passed=false로 돌려주고 조율이 해당 표만 재수행한다.
② 재수행 횟수를 넘김 → 표를 제거하고 본문 서술로 대체한다(확정 동작). 값이 틀린 표를 남기지 않는다.
③ 호출 실패 · 응답 지연 · 응답 형식 오류 → R-11(재시도 → 재개 → 실패).</t>
  </si>
  <si>
    <t>T-V1</t>
  </si>
  <si>
    <t>사업계획서 검증 (문서층 70점)</t>
  </si>
  <si>
    <t>T-W3 종료 직후 1회. 구현 Task보다 먼저 실행한다. 사용자가 재작성을 요청하면 사이클마다 반복된다.</t>
  </si>
  <si>
    <t>재작성 사이클마다 다시 호출되어 점수를 갱신한다(재채점, 횟수를 세지 않는다). 결과가 나온 채점을 점수 때문에 다시 돌리지 않는다.
호출 실패 · 응답 지연 · 응답 형식 오류 → 재시도, 넘기면 재개, 재개 상한 초과 → 실행 실패. 부분 점수로 통과 판정하지 않는다 (R-11).</t>
  </si>
  <si>
    <t>planDoc: PlanDoc
evaluationItems: EvalItem[]
rubric: Rubric  // 상수
temperature: float = 0</t>
  </si>
  <si>
    <t>docScore: DocScore  // total: float(0~70)
items: DocScoreItem[]
varianceFlag: bool</t>
  </si>
  <si>
    <t>모든 채점 항목에 점수와 evidenceLocator(계획서 원문 근거 위치)가 함께 출력되고, rubric에 정의된 항목만 채점된다. 동일 입력 재채점 시 총점 편차가 설정된 상한 이내다.
프로토타입 제작 전에 계획서를 확정하기 위해 구현 앞에 배치한다. 계획서가 부실한 채로 프로토타입까지 만들면 두 산출물을 모두 다시 만들어야 한다 (4-4).</t>
  </si>
  <si>
    <t>① evidenceLocator 없는 감점 → 해당 감점을 무효 처리하고 점수를 복원한다.
② rubric 밖의 기준으로 매긴 감점 → 무시한다.
③ 재채점 편차가 상한 초과 → varianceFlag=true로 관리자 화면에 경고를 남긴다.
④ 호출 실패 · 응답 지연 · 응답 형식 오류 → R-11(재시도 → 재개 → 실패). 부분 점수로 통과 판정하지 않는다. 재작성 중이면 실행 실패 대신 재작성 실패로 처리한다.</t>
  </si>
  <si>
    <t>4-5, 5-5, 5-8</t>
  </si>
  <si>
    <t>T-B1</t>
  </si>
  <si>
    <t>실행 파일(HTML) 제작</t>
  </si>
  <si>
    <t>사용자가 프로토타입 제작을 요청했을 때 1회. category='원페이지'이면 실행하지 않는다. 종합 평가에서 계획서 묶음을 재작성하면 바뀐 내용을 HTML에 반영하기 위해 다시 호출한다(재작성 횟수를 쓰지 않는다).</t>
  </si>
  <si>
    <t>재작성 대상(실행 파일 묶음). T-B2와 서로 영향을 주지 않는다.
검사 미통과(진입 파일 미생성, 외부 CDN · 빌드 도구 의존) 재수행 — 재수행 횟수까지. 넘기면 그대로 보내고 미충족을 코드 점수에 반영한다.
종합 평가에서 계획서를 재작성하면 HTML에도 반영한다 (4-7, 5-6).
호출 실패 · 응답 지연 · 응답 형식 오류 → R-11(재시도 → 재개 → 실패).</t>
  </si>
  <si>
    <t>featureList: string[]
itemSpec: ItemSpec
category: enum('웹개발','AI_API')
instruction: string
reworkInput: ReworkInput?  // 재작성 · 재수행일 때만</t>
  </si>
  <si>
    <t>prototype: Prototype
implementedFeatures: string[]  // 자기 신고값. 채점 근거 아님
entryFilePath: string
check: CheckResult</t>
  </si>
  <si>
    <t>외부 빌드 도구 없이 단일 HTML로 열리고 진입 파일이 존재한다(코드 검증 1번 충족). implementedFeatures가 featureList를 모두 포함한다. 웹개발은 화면 전환 중심, AI API는 입력 → 처리 → 출력 흐름 시연 중심으로 산출한다.
implementedFeatures는 구현 Agent의 자기 신고값이며 대조 판정에 쓰이지 않는다. T-V2가 sourceText를 직접 파싱해 판정하고, 이 값은 불일치 시 원인 추적에만 쓴다.</t>
  </si>
  <si>
    <t>① 진입 파일 생성 실패 → check.passed=false로 돌려주고 조율이 재수행한다. 재수행 횟수를 넘기면 그대로 보내며 코드 점수가 0으로 반영된다 (E-B1-ENTRY).
② 외부 CDN · 빌드 도구 의존이 감지되면 check.passed=false로 돌려주고 조율이 재수행한다(4-6의 산출 형식 고정). 재수행 횟수를 넘기면 그대로 보내고 미충족을 점수에 반영한다 (E-B1-DEP).
③ featureList 대비 미구현 기능이 남으면 실패가 아니라 검증-2의 대조 감점으로 넘긴다. 임의로 계획서를 고쳐 맞추지 않는다.
④ 호출 실패 · 응답 지연 · 응답 형식 오류 → R-11(재시도 → 재개 → 실패).</t>
  </si>
  <si>
    <t>4-4, 4-6, 5-4, 5-6</t>
  </si>
  <si>
    <t>T-B2</t>
  </si>
  <si>
    <t>인포그래픽 제작</t>
  </si>
  <si>
    <t>사용자가 프로토타입 제작을 요청했을 때 1회.</t>
  </si>
  <si>
    <t>재작성 대상(인포그래픽 묶음). T-B1과 서로 영향을 주지 않는다.
검사 미통과 재수행 — 재수행 횟수까지. 넘기면 그대로 보내고 미충족을 점수에 반영한다(예외 여섯 곳에 들지 않는다).
호출 실패 · 응답 지연 · 응답 형식 오류 → R-11(재시도 → 재개 → 실패).</t>
  </si>
  <si>
    <t>planDoc: PlanDoc
itemSpec: ItemSpec
category: enum('원페이지','웹개발','AI_API')
instruction: string
reworkInput: ReworkInput?  // 재작성 · 재수행일 때만</t>
  </si>
  <si>
    <t>infographic: Infographic
check: CheckResult</t>
  </si>
  <si>
    <t>이미지 파일이 생성되고 altText가 비어 있지 않다(코드 검증 2번 대비). 도식의 수치가 planDoc 원본과 일치한다.
category='원페이지'이면 이 Task의 산출물이 프로토타입 본체가 된다. format을 svg로 고정하고, 핵심 정보 6항목(아이템명 · 목표 고객 · 문제 정의 · 해결 방안 · 수익모델 단가 · 추진 일정 기준선)을 &lt;text&gt;로 지면에 포함시킨다. 지시 템플릿이 카테고리로 갈린다.</t>
  </si>
  <si>
    <t>① 이미지 미생성 · altText 공백 · 도식 수치 불일치 → check.passed=false로 돌려주고 조율이 재수행한다.
② 재수행 횟수를 넘김 → 그대로 보내고 미충족을 산출물층 점수에 반영한다.
③ 원페이지에서 텍스트를 래스터 &lt;image&gt;로 삽입하면 코드 검증 6번(텍스트 실재성) 미충족으로 처리한다.
④ 호출 실패 · 응답 지연 · 응답 형식 오류 → R-11(재시도 → 재개 → 실패).</t>
  </si>
  <si>
    <t>4-4, 5-4, 5-6</t>
  </si>
  <si>
    <t>T-V2</t>
  </si>
  <si>
    <t>프로토타입 검증 (산출물층 30점)</t>
  </si>
  <si>
    <t>G-04 종료 직후 1회. 실행 안내 문서가 채점 시점에 존재해야 하기 때문이다. 이 시점에 계획서는 G-02a에서 확정된 상태다. 실행 파일이나 인포그래픽을 재작성하면 G-04와 함께 다시 돈다.</t>
  </si>
  <si>
    <t>재작성 사이클마다 다시 호출된다(재채점, 횟수를 세지 않는다). 코드 검증은 규칙이므로 호출 실패가 없다.
대조 보조 LLM의 호출 실패 · 응답 지연 · 응답 형식 오류 → 재시도, 넘기면 재개하지 않고 문자열 대조 결과만으로 산출하고 로그를 남긴다 (R-11).</t>
  </si>
  <si>
    <t>prototype: Prototype
infographic: Infographic
featureList: string[]</t>
  </si>
  <si>
    <t>artifactScore: ArtifactScore  // total: float(0~30)
codeCheck: CodeCheckResult  // 0~15
featureMatch: FeatureMatchResult  // 0~15</t>
  </si>
  <si>
    <t>코드 검증 8항목을 파싱과 계산만으로 판정하고(R-4), 계획서의 featureList가 산출물에 실재하는지 대조한다. 대조는 구현 Agent가 신고한 implementedFeatures가 아니라 prototype.sourceText를 직접 파싱한 결과로 판정한다. 생산자의 자기 신고를 채점 근거로 쓰면 산출물을 나눠 만든 의미가 사라진다 (4-5). judgedBy에 판정 근거를 기록한다.
prototype.kind로 체크리스트가 갈린다. html은 DOM을, svg-onepage는 &lt;text&gt; 문자열을 파싱 대상으로 삼으며 항목 수 8과 합계 15는 같다. 대조 점수는 두 경우 모두 max(0, 15 - 4 × missingFeatures 건수)로 산정한다.
이 Task는 채점만 하고 합격 여부를 판정하지 않는다. 산출물 확인 화면은 코드 검증 8항목 결과와 대조 누락 기능을 항목별로 보여주되 합격선을 표기하지 않는다. 산출물층 30점은 총점의 한 부분이지 그 자체로 합격선을 갖는 시험이 아니며, 같은 기준선이 화면마다 반복되면 실제 관문이 흐려진다 (4-5). 판정은 G-02b에서 한 번만 한다.
산출물 확인 화면(8)의 재작성 목록은 이 Task의 체크리스트 pass / non-pass(미충족 항목, 대조 누락 기능)로 만든다. 미충족 항목이 속한 묶음(실행 파일 또는 인포그래픽)을 고를 수 있게 한다 (시트 [7_재작성·재수행매핑]).</t>
  </si>
  <si>
    <t>① 진입 파일 미존재(1번 미충족) → codeCheck.total=0으로 확정하고 나머지 항목은 계산하지 않는다.
② HTML 파싱 실패 → 해당 항목만 미충족 처리하고 나머지 항목 계산은 계속한다.
③ featureList가 비어 있으면 대조가 성립하지 않으므로 판정을 보류하고 오류로 기록한다. T-S1이 검사 미통과 때 coreFeatures를 승계해 확정하므로 정상 흐름에서는 발생하지 않는다 (E-V2-NOFEATURE).
④ 대조 보조 LLM 호출이 재시도 횟수를 넘겨도 실패 → 규칙 기반 기능명 문자열 대조 결과만으로 점수를 산출하고 보조 실패를 로그에 남긴다 (R-11).
⑤ implementedFeatures와 직접 파싱 결과가 다르면 파싱 결과를 채택하고 차이를 관리자 로그에 남긴다. 구현 Agent의 신고 정확도를 보는 지표가 된다.</t>
  </si>
  <si>
    <t>4-5, 4-7, 5-1, 5-4, 5-8</t>
  </si>
  <si>
    <t>T-P1</t>
  </si>
  <si>
    <t>사업계획서 문장 형식 검수</t>
  </si>
  <si>
    <t>G-03 종료 직후 1회. 종합 평가에서 검수 진입이 확정된 뒤(진행가능, 또는 미달 상태에서 확인을 거친 진행) 실행한다. 재작성 사이클 중에는 호출하지 않는다(폐기될 문장에 비용을 쓰지 않기 위함).</t>
  </si>
  <si>
    <t>재호출하지 않는다. 점수 확정 후 1회 판정으로 끝난다.
formatSpec 미주입은 재시도가 아니라 조율에 대한 재요청으로 처리한다.
호출 실패 · 응답 지연 · 응답 형식 오류 → 재시도. 넘기면 그 문장은 원문 유지 대상으로 표시한다. 실패 비율이 높을 때의 재개는 R-11의 표현 검수 규칙을 따른다.</t>
  </si>
  <si>
    <t>planDoc: PlanDoc  // 점수 확정본
formatSpec: FormatSpec  // 조율이 양식에서 주입
protectedTokens: Token[]</t>
  </si>
  <si>
    <t>formatFindings: FormatFinding[]
targetSentenceIds: string[]</t>
  </si>
  <si>
    <t>계획서를 학습 데이터 분리 규칙(최소 단위로 나누고 제목은 묶음)으로 문장으로 나누고, 문장마다 검수할 문장인지 판단한다(검수 판단). 전 문장이 검사되고 검수할 문장만 목록화된다. 0건이면 targetSentenceIds가 빈 집합이 되어 T-P2가 실행되지 않는다. 이 Task는 판정만 하고 문장을 수정하지 않는다.</t>
  </si>
  <si>
    <t>① formatSpec 미주입 → 임의의 기본 양식으로 진행하지 않고 조율에 양식 정보를 재요청한다.
② 판정 자체가 실패한 문장 → 원문 유지 대상으로 표시하고 윤문 대상에서 제외한다.
③ 검수 결과는 점수에 반영하지 않는다. 평가항목에 문장력 항목이 없어 점수화 근거가 없기 때문이다.</t>
  </si>
  <si>
    <t>4-4, 4-5, 5-7, 5-8</t>
  </si>
  <si>
    <t>T-P2</t>
  </si>
  <si>
    <t>한국어 문장 윤문 (문장 단위)</t>
  </si>
  <si>
    <t>targetSentenceIds의 문장마다 1회 호출하며, 문장들을 병렬로 처리한다(검수 동시 처리 수). 보호 토큰 위반 시 같은 문장을 검수 재수행 횟수까지 다시 만든다.</t>
  </si>
  <si>
    <t>문장 단위 재수행. 보호 토큰 위반 시 redoHint를 바꿔 같은 문장을 다시 만든다. 횟수는 검수 재수행 횟수이며, 우선 재수행 횟수와 같게 두고 테스트한 뒤 따로 둘지 정한다.
넘기면 해당 문장만 원문을 유지하고 관리자 로그에 기록한다(확정 동작). 점수에는 영향이 없다.
호출 실패 · 응답 지연 · 응답 형식 오류 → 재시도, 넘기면 그 문장은 원문을 유지하고 넘어간다. 실패 비율이 검수 실패 비율 기준을 넘으면 재개하고, 재개 상한을 넘기면 원문을 유지한 채 완료한다 (R-11).</t>
  </si>
  <si>
    <t>sentence: Sentence
protectedTokens: Token[]
formatFindings: FormatFinding[]  // 이 문장에 대한 T-P1 지적
formatSpec: FormatSpec
redoHint: string[]  // 재수행 시 소실·변조 토큰 명시
redoCount: int  // 현재 재수행 횟수
temperature: float &lt;= 0.2</t>
  </si>
  <si>
    <t>revised: Sentence  // 여러 문장이어도 그 자리에 둔다(제목은 예외)
tokenCheck: TokenCheckResult
adopted: bool
keptReason: enum('검증실패','호출실패','조기중단')?  // adopted=false일 때 원문을 유지한 이유
finalRedoCount: int</t>
  </si>
  <si>
    <t>다중집합(multiset) 비교로 보호 토큰의 값과 출현 횟수가 모두 보존되면 passed=true가 되어 교정 문장을 채택한다. 한 문장이 여러 문장으로 나오면 그 자리에 그대로 둔다. 제목이 여러 문장으로 나오면 검사를 통과하지 못한 것으로 본다. 조사 · 어미 변화는 위반이 아니다("2026년까지" → "2026년 안에"는 통과). 수치와 조건이 결합된 표현("5개 이상", "만 39세 이하")은 하나의 보호 단위로 취급한다.</t>
  </si>
  <si>
    <t>① 토큰 소실 · 변조 → 위반 내역을 redoHint에 실어 같은 문장을 재수행한다. 온도가 낮아 동일 입력 반복은 같은 출력을 내므로, 제약이 추가된 다른 입력이어야 한다.
② 표기 변환("3천만원" ↔ "30,000,000원")은 의미가 같아도 위반으로 처리한다.
③ 검수 재수행 횟수를 넘김 → 해당 문장만 원문을 유지하고 adopted=false, keptReason='검증실패'로 관리자 로그에 기록한다. 회수된 문장은 라벨링 후 학습 데이터가 된다(6-6).
④ 검사를 통과하지 못한 문장은 어떤 경우에도 사용자에게 전달되지 않는다.
⑤ 지시를 바꿨는데도 출력이 직전과 동일하면 재수행 횟수 전에 중단하고 keptReason='조기중단'으로 earlyStoppedSentenceIds에 기록한다.
⑥ 호출 실패 · 응답 지연 · 응답 형식 오류 → 재시도 횟수를 넘기면 그 문장은 원문을 유지하고 keptReason='호출실패'로 기록한 뒤 넘어간다. 6-6 회수 대상이 아니다. 실패 비율이 검수 실패 비율 기준을 넘으면 재개하고, 재개 상한을 넘기면 원문을 유지한 채 완료한다 (R-11).</t>
  </si>
  <si>
    <t>5-7, 5-8, 6-6</t>
  </si>
  <si>
    <t>-</t>
  </si>
  <si>
    <t>직접 구현 로직</t>
  </si>
  <si>
    <t>G-01</t>
  </si>
  <si>
    <t>자격요건 게이트 (규칙 모듈 R-2)</t>
  </si>
  <si>
    <t>사용자가 공고 1건을 선택한 직후 1회. T-C2 이후, T-C3 이전. LLM을 호출하지 않는다.</t>
  </si>
  <si>
    <t>재작성 · 재수행 대상 아님. 사용자가 다른 공고를 선택하면 즉시 재실행한다.
규칙 판정이라 호출 비용이 없으므로 실행 횟수 상한을 두지 않는다.</t>
  </si>
  <si>
    <t>companyInfo: CompanyInfo  // applicantType 필수. 개인사업자 · 법인은 foundedAt 필수
eligibility: EligibilityRule
eligibilityParsed: bool
today: date</t>
  </si>
  <si>
    <t>gateResult: GateResult
businessAgeYears: float?  // foundedAt과 today로 자동 계산. 예비창업자는 null</t>
  </si>
  <si>
    <t>구조화 필드 비교만으로 통과 · 불통과를 판정한다. LLM을 호출하지 않아 동일 입력에 동일 결과가 나온다. passed=true인 경우에만 T-C3 작업 분해로 진행한다. 판정 결과는 점수로 환산하지 않는다.
대조 항목은 지원대상 유형 · 업력 · 접수기간 세 가지로 유지한다 (4-7). 공고마다 조건이 달라 게이트 조건을 늘리면 오히려 좋지 않다는 판단이다. 생년월일 · 희망 지역 · 주 업종 · 첫 창업 여부는 게이트에서 대조하지 않고 매칭 순위와 가산점 확인에만 쓴다 (4-2 ①).</t>
  </si>
  <si>
    <t>① missingInputs가 비어 있지 않으면 판정하지 않는다. 필수 항목은 사전 정보 입력에서 강제되므로 정상 흐름에서는 발생하지 않으며, 발생하면 사전 정보 입력으로 돌려보낸다. 실행 중 되묻기는 두지 않는다 (E-G1-MISSING, 4-1).
② eligibilityParsed=false → undecidable=true로 표시하고 공고문 직접 확인을 안내한다. 임의 통과를 허용하지 않는다(E-G1-UNPARSED).
③ 불통과 → 실행을 차단하고 다른 후보 공고 재선택을 유도한다. 감점으로 환산하지 않는다(E-G1-REJECT).</t>
  </si>
  <si>
    <t>4-2③, 4-6, 5-1②</t>
  </si>
  <si>
    <t>G-02a</t>
  </si>
  <si>
    <t>문서 평가 판정 (규칙 모듈 R-6, phase='document')</t>
  </si>
  <si>
    <t>T-V1 종료 직후 1회. 사용자가 재작성을 요청하면 사이클마다 반복 실행된다.</t>
  </si>
  <si>
    <t>사용자가 재작성을 요청할 때만 다시 실행된다. 점수가 미달이어도 자동으로 재작성하지 않는다.
재작성 기회는 묶음마다 재작성 횟수까지이며, 문서 평가 · 산출물 확인 · 종합 평가가 reworkUsage를 함께 쓴다. 기회를 다 쓴 묶음은 고를 수 없게 표시한다.</t>
  </si>
  <si>
    <t>docScore: DocScore
threshold: float = 80  // 관리자 설정값
reworkUsage: BundleUsage[]  // 묶음별 재작성 사용 기록. 세 화면 공유
selectedOrders: ReworkOrder[]?  // 사용자가 고른 묶음
checks: CheckResult[]?  // 이번 사이클 Task 검사 결과. 확정 동작 알림용
userAction: enum('재작성','진행')?  // 2회차 이후 입력</t>
  </si>
  <si>
    <t>scoreReport: ScoreReport  // phase='document'
failedTaskIds: string[]
reworkOrders: ReworkOrder[]
nextAction: enum('진행가능','재작성권유','상한도달')</t>
  </si>
  <si>
    <t>문서층 70점을 100점으로 환산해 displayScore에 담는다. 이 시점에는 산출물층을 채점할 대상이 없으므로 70점 만점으로 표기하면 사용자가 30점을 잃은 것으로 오해한다 (4-5).
환산 점수가 threshold 이상이면 nextAction='진행가능'으로 프로토타입 제작 단계를 연다. 미만이면 '재작성권유'로 미달 항목과 함께 재작성을 권한다.
재작성을 자동으로 실행하지 않는다. 사용자가 묶음을 골라 요청했을 때만 고른 묶음(selectedOrders)을 다시 만든다 (5-6). 고른 묶음은 서로 영향을 주지 않으므로 계획서 안에서는 전파하지 않으며, 전략 결과(T-S1 · T-S2)는 재작성 대상이 아니다. 권유 상태에서도 사용자는 그대로 진행할 수 있으며, 이때 현재 계획서로 프로토타입 제작에 들어간다.
재작성 목록은 미달 항목이 속한 계획서 항목 묶음으로 만들고, 산정 규칙은 시트 [7_재작성·재수행매핑]의 문서층 행을 따른다. 묶음 구성과 평가 항목의 대응은 미확정이다. 이전 결과는 삭제하지 않고 점수 변화 이력으로 보존한다.
재작성은 화면을 이동하지 않는다. 같은 화면에서 계획서 항목 묶음을 골라 요청하고, 완료되면 그 화면의 점수와 미달 목록만 갱신된다. 재작성 중에는 이 화면에서 '진행 중'으로 보이고, 이어하기로 돌아와도 이 화면으로 온다 (4-7). T-W1이 확정 동작으로 서술을 지웠으면(checks의 finalAction) scoreReport.notices에 담아 이 화면에 함께 알린다 (E-W1-REMOVED).</t>
  </si>
  <si>
    <t>① 재작성이 끝나면 전후 검증 점수를 비교해 높은 쪽을 남긴다(scoreReport.comparisons). 재작성이 항상 개선을 보장하지 않으므로 최신본 고정 채택은 쓰지 않는다. 기회를 다 쓴 묶음은 다시 고를 수 없게 표시하고(E-G2-LIMIT), 미달 항목의 묶음이 모두 기회를 다 쓰면 nextAction='상한도달'로 진행만 허용한다.
② 층별 배점 · Threshold · 재작성 횟수는 실행을 시작할 때의 설정값(Run.settingsSnapshot)을 쓰고, 판정에 쓴 값을 scoreReport에 함께 기록한다. 기록이 없으면 과거 점수를 재현할 수 없다.
③ 미달은 있으나 매핑된 재작성 대상이 실행 Task 목록에 없으면 재작성 버튼을 노출하지 않고 진행만 허용한다.
④ 재작성이 실패하면(재개 상한 초과 또는 영구 오류) 요청 전 결과로 되돌리고 그 묶음의 기회를 돌려주며 실패 알림을 보낸다. 실행 전체는 실패로 보지 않는다 (E-RUN-ROLLBACK, R-11).</t>
  </si>
  <si>
    <t>4-5, 4-7, 5-6, 5-8</t>
  </si>
  <si>
    <t>Task 미계상</t>
  </si>
  <si>
    <t>T-C4</t>
  </si>
  <si>
    <t>결과 통합 · 전달</t>
  </si>
  <si>
    <t>전 Task 종료 후 1회. 기획서 4-3의 담당 업무이나 4-4의 고정 Task 14개에는 포함되지 않는다.</t>
  </si>
  <si>
    <t>재호출하지 않는다. 전 Task 종료 후 1회.
산출물 누락 시에는 재호출이 아니라 해당 Task 재수행 또는 사유 안내로 분기한다.</t>
  </si>
  <si>
    <t>planDoc: PlanDoc  // 검수 반영본
prototype: Prototype
infographic: Infographic
scoreReport: ScoreReport
proofreadLog: ProofreadLog</t>
  </si>
  <si>
    <t>deliverable: Deliverable
userMessage: string</t>
  </si>
  <si>
    <t>사업계획서 · 프로토타입 · 검증 결과의 세 겹 묶음이 모두 채워진 상태로 사용자에게 전달되고, 미달 항목이 있으면 항목별로 명시된다. 사용자가 대화하는 상대는 항상 조율 하나이므로 다른 Agent의 출력이 직접 노출되지 않는다.
계획서 파일 조립(본문, 표, 이미지, 인포그래픽, 6-8 고지 문구)은 조율이 한다. 작성 쪽은 파일에 직접 넣지 않는다 (7-1). 조립 시점과 파일 형식은 미확정이다.
조율은 실행 중 다음 합치기를 맡는다. ① T-W2 · T-W3이 끝나면 차트와 표를 계획서에 합친다. 합치지 않으면 T-V1이 표 없는 계획서를 채점한다. ② 원페이지면 T-B2 산출물을 Prototype(kind='svg-onepage')으로 감싸 T-V2에 넘긴다. ③ G-04가 만든 readmePath를 Prototype에 기입한다. ④ 검수가 끝나면 채택된 문장을 계획서에 반영하고 ProofreadLog를 집계한다.
진행률 전달은 R-9가 맡는다.
산출물 3종에 각각 고지를 붙인다. 계획서 첫 장에 AI 초안 생성 사실과 검토 필요를, 프로토타입 실행 안내에 AI 생성 사실을, 검증 결과에 서비스 내부 기준값이며 심사 점수가 아님을 표기한다. 내려받기 화면에는 공고별 제출 요건을 확인하도록 안내한다 (6-8).</t>
  </si>
  <si>
    <t>① 세 산출물 중 하나라도 누락 → 전달을 보류하고 해당 Task 재수행 또는 사유 안내로 분기한다.
② Threshold 미달인 채로 검수에 들어온 경우 → 점수와 미달 항목을 그대로 전달하고 제출 전 본인 검토가 필요함을 고지한다.
③ 이전 결과는 삭제하지 않고 이력으로 보존한다.</t>
  </si>
  <si>
    <t>4-3, 4-4, 5-6, 7-1</t>
  </si>
  <si>
    <t>G-03</t>
  </si>
  <si>
    <t>보호 토큰 추출 (규칙 모듈 R-7)</t>
  </si>
  <si>
    <t>G-02b에서 검수 진입이 확정된 직후 1회(nextAction='진행가능', 또는 미달 상태에서 확인을 거친 userAction='진행'). T-P1보다 먼저 실행한다.</t>
  </si>
  <si>
    <t>재작성 · 재수행 대상 아님. 검수 단계에 들어오면 종합 평가로 돌아가지 않는다. 검수와 결과 통합이 산출물을 확정하는 단계여서, 그 뒤에 다시 채점 루프로 돌아가면 어느 시점의 산출물이 최종인지 모호해진다 (4-7).</t>
  </si>
  <si>
    <t>planDoc: PlanDoc
announcement: Announcement
companyInfo: CompanyInfo
featureList: string[]
referenceSummary: ReferenceSummary?  // 첨부에서 인용한 수치 · 고유명사(citedNumbers)
numericTokens: Token[]  // T-S2 수치 보호 토큰 후보</t>
  </si>
  <si>
    <t>protectedTokens: Token[]</t>
  </si>
  <si>
    <t>검수 이전에 보호 토큰을 확정한다. 이미 파이프라인에 있는 값을 모으는 작업이라 사전 구축 비용이 없다. 첨부에서 인용한 수치 · 고유명사와 T-S2의 수치 후보도 토큰에 넣는다 (4-6). 상세는 시트 [5_규칙모듈] R-7.</t>
  </si>
  <si>
    <t>① 포함 관계인 토큰은 긴 쪽만 등록한다.
② 추출 0건이면 형식 검수만 수행하고 윤문을 생략한다.</t>
  </si>
  <si>
    <t>4-6, 5-7, 7-1</t>
  </si>
  <si>
    <t>G-02b</t>
  </si>
  <si>
    <t>종합 평가 판정 (규칙 모듈 R-6, phase='overall')</t>
  </si>
  <si>
    <t>T-V2 종료 직후 1회. 사용자가 재작성을 요청하면 사이클마다 반복 실행된다.</t>
  </si>
  <si>
    <t>사용자가 재작성을 요청할 때만 다시 실행된다. 점수가 미달이어도 자동으로 재작성하지 않는다.
재작성 기회는 묶음마다 재작성 횟수까지이며 문서 평가 · 산출물 확인과 함께 쓴다(reworkUsage). 6 · 8번에서 기회를 다 쓴 묶음은 고를 수 없게 표시한다.</t>
  </si>
  <si>
    <t>docScore: DocScore
artifactScore: ArtifactScore
threshold: float = 80
reworkUsage: BundleUsage[]  // 묶음별 재작성 사용 기록. 세 화면 공유
selectedOrders: ReworkOrder[]?  // 사용자가 고른 묶음
checks: CheckResult[]?  // 이번 사이클 Task 검사 결과. 확정 동작 알림용
userAction: enum('재작성','진행')?</t>
  </si>
  <si>
    <t>scoreReport: ScoreReport  // phase='overall'
failedTaskIds: string[]
reworkOrders: ReworkOrder[]
nextAction: enum('진행가능','재작성권유','상한도달')
reworkDiff: ReworkDiff[]  // 이번 재작성으로 바뀐 항목의 전후 대비</t>
  </si>
  <si>
    <t>문서층과 산출물층을 합산한 총점 100점을 그대로 표기한다. 환산하지 않는다. 화면에서는 G-02a의 '문서 평가'와 구분되도록 '종합 평가'로 이름을 붙이고 층별 내역을 함께 표시한다 (4-5).
합격선을 말하는 화면은 문서 평가와 종합 평가 두 곳뿐이다. 그 사이의 산출물 확인 화면은 점검 결과만 제시한다.
threshold 이상이면 nextAction='진행가능'으로 검수 단계(G-03)를 연다. 미만이면 '재작성권유'로 미달 항목을 제시한다.
**미달 목록은 계획서와 프로토타입 항목을 합쳐서 낸다.** reworkOrders의 layer로 두 층을 구분하며, 사용자가 다시 만들 묶음을 골라 요청한다. 문서 평가에서 미달인 채로 진행한 경우 산출물층을 만점 받아도 총점이 기준에 이르지 못할 수 있는데, 프로토타입만 다시 만들 수 있다면 사용자는 비용을 쓰고도 통과하지 못한다. 통합 목록은 이 경우를 별도 예외 처리 없이 해소한다 (4-7).
재채점 범위는 선택된 layer를 따른다. document를 선택하면 작성과 T-V1을 다시 실행하고, 바뀐 계획서 내용을 HTML(T-B1)에도 반영한 뒤 G-04와 T-V2까지 다시 실행해 두 층을 모두 재채점한다. 이 반영은 재작성 횟수를 쓰지 않는다. artifact만 선택하면 고른 묶음(실행 파일 또는 인포그래픽)만 다시 만들고 G-04와 T-V2를 다시 실행하며 docScore를 승계한다. 승계한 층은 carriedOverLayer에 기록한다. 기능 목록은 재작성 대상이 아니므로 대조 기준은 바뀌지 않는다 (4-4, 4-7, 5-6).
종합 평가 화면은 계획서와 프로토타입을 모달로 열람할 수 있게 한다. 이 화면은 숫자만 보는 자리라 재작성 결과가 드러나지 않으므로, 점수 갱신과 함께 바뀐 항목의 전후 대비를 reworkDiff로 함께 낸다. 화면 이동을 만들지 않는 이유는 판정하는 자리에서 나갔다 돌아오면 판정의 무게가 흐려지기 때문이다 (4-7).
reworkDiff에는 이번에 재작성한 항목과, 계획서 재작성이 HTML에 반영된 경우 그 변경을 담는다. 승계된 층만 변경 없음으로 표시한다. 이어하기로 복귀했을 때도 직전 변경 내역이 유지되어야 한다. T-W1이 확정 동작으로 서술을 지웠으면 scoreReport.notices로 함께 알린다 (E-W1-REMOVED).</t>
  </si>
  <si>
    <t>① 재작성이 끝나면 전후 검증 점수를 비교해 높은 쪽을 남긴다(scoreReport.comparisons). 계획서 재작성으로 점수가 떨어져 되돌릴 때는 HTML도 함께 되돌린다. 기회를 다 쓴 묶음은 고를 수 없게 표시하고(E-G2-LIMIT), 미달 항목의 묶음이 모두 기회를 다 쓰면 nextAction='상한도달'로 진행만 허용한다.
② docScore + 산출물층 만점이 threshold에 미치지 못하면 계획서 항목을 함께 선택해야 기준에 이른다고 안내한다. 버튼을 막지 않으며 선택은 사용자가 한다. 계획서 묶음의 기회가 남아 있지 않으면 남은 재작성으로는 기준에 이르지 못한다는 문구를 따로 쓴다 (E-G2-UNREACHABLE, 4-7 E9).
③ 미달은 있으나 매핑된 재작성 대상이 실행 Task 목록에 없으면 재작성 버튼을 노출하지 않고 진행만 허용한다.
④ nextAction='진행가능'으로 검수에 들어가면 되돌아올 수 없다. 미달 상태로 진행할 때는 현재 점수 · 남는 미달 항목 · 되돌릴 수 없다는 사실 세 가지를 확인받는다 (4-7).
⑤ 재작성이 실패하면(재개 상한 초과 또는 영구 오류) 요청 전 결과로 되돌리고 그 묶음의 기회를 돌려주며 실패 알림을 보낸다. 실행 전체는 실패로 보지 않는다 (E-RUN-ROLLBACK, R-11).</t>
  </si>
  <si>
    <t>G-04</t>
  </si>
  <si>
    <t>실행 안내 문서 생성 (규칙 모듈 R-10)</t>
  </si>
  <si>
    <t>T-B2 종료 직후 1회. T-V2보다 먼저 실행한다. 사용자가 재작성을 요청하면 사이클마다 다시 생성한다.</t>
  </si>
  <si>
    <t>실행 파일이나 인포그래픽을 다시 만들면 G-04와 T-V2만 따라서 다시 돈다. 파일 목록과 실행 방법이 달라질 수 있기 때문이다.
안내 문서 항목만 미충족이면 G-04만 다시 실행한다. 이 항목을 사용자 재작성 목록에 따로 올릴지는 미확정이다 (시트 [7_재작성·재수행매핑]).</t>
  </si>
  <si>
    <t>prototype: Prototype
infographic: Infographic
itemSpec: ItemSpec
announcement: Announcement</t>
  </si>
  <si>
    <t>readmePath: string</t>
  </si>
  <si>
    <t>실행·열람 방법, 파일 목록, AI 생성 고지를 담은 README를 생성한다. LLM을 호출하지 않고 템플릿에 슬롯을 채운다.
prototype.kind로 안내 문구가 갈린다. html이면 브라우저로 열기, svg-onepage이면 브라우저 열기와 인쇄 방법을 담는다.
구현 Agent의 Task로 두지 않는 이유는 재현성이다. 이 문서는 코드 검증 항목(5-4 웹개발 7번 · 원페이지 8번)의 판정 대상인데, LLM이 매번 다르게 쓰면 규칙 판정이 비결정적인 대상을 검사하게 된다.
T-V2보다 앞에 두는 것도 같은 이유다. 채점 시점에 대상 파일이 존재해야 한다.
프로토타입의 AI 생성 고지(6-8)를 담는 자리이기도 하다. HTML 안에 넣으면 프로토타입 화면에 고지 문구가 섞인다.</t>
  </si>
  <si>
    <t>① 슬롯 값이 비면 해당 섹션을 생략하지 않고 기본 문구로 채운다. 섹션이 사라지면 검증 항목이 미충족으로 잡힌다.
② 생성 실패 시 코드 검증의 해당 항목만 미충족 처리하고 파이프라인은 계속 진행한다.</t>
  </si>
  <si>
    <t>4-4, 5-4, 6-8</t>
  </si>
  <si>
    <t>기능 ID</t>
  </si>
  <si>
    <t>입출력</t>
  </si>
  <si>
    <t>변수명</t>
  </si>
  <si>
    <t>한글명</t>
  </si>
  <si>
    <t>타입</t>
  </si>
  <si>
    <t>필수여부</t>
  </si>
  <si>
    <t>설명</t>
  </si>
  <si>
    <t>예시값</t>
  </si>
  <si>
    <t>입력</t>
  </si>
  <si>
    <t>formInput</t>
  </si>
  <si>
    <t>사전 정보 입력</t>
  </si>
  <si>
    <t>PreInput</t>
  </si>
  <si>
    <t>필수</t>
  </si>
  <si>
    <t>'내 정보 불러오기'로 고른 마이페이지 프로필 값(신청자 유형 · 대표자 · 희망 지역 · 주 업종 · 대표자 이력 · 팀 구성원 등)과 프로젝트 작성란 입력(아이디어 설명 · 수익모델 단가 · 개발 기간 · 채용 계획 등). 필수 항목은 입력 단계에서 검사되므로 되묻지 않는다 (4-1, 4-2)</t>
  </si>
  <si>
    <t>{ideaText:"동네 헬스장 회원 관리…", applicantType:"법인", revenueUnitPrice:35000}</t>
  </si>
  <si>
    <t>referenceDocs</t>
  </si>
  <si>
    <t>첨부 문서</t>
  </si>
  <si>
    <t>ReferenceDoc[]?</t>
  </si>
  <si>
    <t>선택</t>
  </si>
  <si>
    <t>R-8이 추출한 참고 문서. 원문을 후속 Task 지시에 그대로 싣지 않는다 (4-6)</t>
  </si>
  <si>
    <t>[{fileName:"사업구상.hwpx", extractStatus:"성공"}]</t>
  </si>
  <si>
    <t>출력</t>
  </si>
  <si>
    <t>itemSpec</t>
  </si>
  <si>
    <t>아이템 사양</t>
  </si>
  <si>
    <t>ItemSpec</t>
  </si>
  <si>
    <t>표준화된 아이템 설명. 이후 전 공정이 참조하는 기준값</t>
  </si>
  <si>
    <t>category</t>
  </si>
  <si>
    <t>아이템 카테고리</t>
  </si>
  <si>
    <t>enum('원페이지','웹개발','AI_API')</t>
  </si>
  <si>
    <t>내부 판정값. 실행 Task 수를 결정하며 선택 UI로 노출하지 않는다</t>
  </si>
  <si>
    <t>웹개발</t>
  </si>
  <si>
    <t>companyInfo</t>
  </si>
  <si>
    <t>회사 정보</t>
  </si>
  <si>
    <t>CompanyInfo</t>
  </si>
  <si>
    <t>폼 입력에서 구성한 신청자 · 회사 정보. 자격 게이트 · 공고 매칭 · 계획서 작성의 입력</t>
  </si>
  <si>
    <t>{applicantType:"법인", foundedAt:"2025-03-02", region:"서울"}</t>
  </si>
  <si>
    <t>categoryReason</t>
  </si>
  <si>
    <t>카테고리 판정 사유</t>
  </si>
  <si>
    <t>string</t>
  </si>
  <si>
    <t>화면에 노출하지 않는다. 판정을 확인 · 수정하는 단계를 두면 카테고리를 선택 UI로 노출하지 않는다는 원칙이 무너진다 (4-2)</t>
  </si>
  <si>
    <t>회원 관리 화면 중심의 웹 서비스</t>
  </si>
  <si>
    <t>confidence</t>
  </si>
  <si>
    <t>모델 자기보고 신뢰도</t>
  </si>
  <si>
    <t>float(0~1)?</t>
  </si>
  <si>
    <t>모델이 스스로 매긴 값. 같은 입력에서도 흔들리고 외부 검증이 불가하므로 진행 판정에 쓰지 않는다. 모델 교체 시 비교용 로그로만 남긴다</t>
  </si>
  <si>
    <t>0.82</t>
  </si>
  <si>
    <t>referenceSummary</t>
  </si>
  <si>
    <t>참조 자료</t>
  </si>
  <si>
    <t>ReferenceSummary?</t>
  </si>
  <si>
    <t>첨부에서 정리한 참조 자료. 전략 · 작성 · 구현 지시에 필요한 조각만 싣는다 (4-6)</t>
  </si>
  <si>
    <t>신청자 정보. 신청자 유형 · 설립일자는 정형 필터에, 희망 지역 · 주 업종은 순위에만 쓴다</t>
  </si>
  <si>
    <t>today</t>
  </si>
  <si>
    <t>기준일자</t>
  </si>
  <si>
    <t>모집 상태 판정과 업력 계산의 기준일</t>
  </si>
  <si>
    <t>2026-09-07</t>
  </si>
  <si>
    <t>topK</t>
  </si>
  <si>
    <t>추천 건수</t>
  </si>
  <si>
    <t>int</t>
  </si>
  <si>
    <t>첫 조회 건수. 기본 10(카드 3 + 리스트 7)</t>
  </si>
  <si>
    <t>offset</t>
  </si>
  <si>
    <t>조회 시작 위치</t>
  </si>
  <si>
    <t>추가 조회 버튼을 누르면 10으로 옮긴다. 기본 0, 누적 최대 20건</t>
  </si>
  <si>
    <t>candidates</t>
  </si>
  <si>
    <t>추천 공고 카드</t>
  </si>
  <si>
    <t>AnnouncementCard[]</t>
  </si>
  <si>
    <t>정형 필터를 통과한 집합 안에서 하이브리드 서치로 뽑은 상위 후보. 길이 10 이하. 상위 3건은 카드, 나머지는 리스트</t>
  </si>
  <si>
    <t>collectionStatus</t>
  </si>
  <si>
    <t>수집 상태</t>
  </si>
  <si>
    <t>enum('정상','지연','실패')</t>
  </si>
  <si>
    <t>실패 · 지연이면 매칭을 진행하지 않고 화면에 경고를 표시한다</t>
  </si>
  <si>
    <t>정상</t>
  </si>
  <si>
    <t>filteredCount</t>
  </si>
  <si>
    <t>필터 통과 건수</t>
  </si>
  <si>
    <t>유사도 계산 이전에 정형 필터를 통과한 모수</t>
  </si>
  <si>
    <t>41</t>
  </si>
  <si>
    <t>fallbackUsed</t>
  </si>
  <si>
    <t>폴백 사용 여부</t>
  </si>
  <si>
    <t>bool</t>
  </si>
  <si>
    <t>검색 오류로 대체 순위가 쓰였는지. 참이면 화면에 표시</t>
  </si>
  <si>
    <t>거짓</t>
  </si>
  <si>
    <t>fallbackMode</t>
  </si>
  <si>
    <t>폴백 방식</t>
  </si>
  <si>
    <t>enum('BM25단독','임베딩단독','마감임박순')?</t>
  </si>
  <si>
    <t>fallbackUsed=true일 때 어떤 순위로 대체했는지. 임베딩 오류면 BM25 단독(확정), BM25 오류면 임베딩 단독, 둘 다 실패하면 마감 임박순(잠정)</t>
  </si>
  <si>
    <t>BM25단독</t>
  </si>
  <si>
    <t>selectedAnnouncement</t>
  </si>
  <si>
    <t>선택 공고</t>
  </si>
  <si>
    <t>Announcement</t>
  </si>
  <si>
    <t>사용자가 고른 공고 1건. 이후 작업의 기준이 이 값으로 고정된다</t>
  </si>
  <si>
    <t>gateResult</t>
  </si>
  <si>
    <t>게이트 판정 결과</t>
  </si>
  <si>
    <t>GateResult</t>
  </si>
  <si>
    <t>passed=true인 경우에만 작업 분해로 진행한다</t>
  </si>
  <si>
    <t>{passed:false}</t>
  </si>
  <si>
    <t>수익모델 단가 · 팀 구성원 · 대표자 이력 등 AI가 생성하면 안 되는 값을 포함한다. 입력에 없는 경력을 지어내지 않는다 (4-6)</t>
  </si>
  <si>
    <t>{revenueUnitPrice:35000}</t>
  </si>
  <si>
    <t>첨부 참조 자료. 전략 · 작성 · 구현 Task 지시에 필요한 조각만 격리 표기해 싣는다 (4-4)</t>
  </si>
  <si>
    <t>taskPlan</t>
  </si>
  <si>
    <t>작업 계획</t>
  </si>
  <si>
    <t>TaskPlan</t>
  </si>
  <si>
    <t>카테고리별로 선택된 고정 Task 세트</t>
  </si>
  <si>
    <t>taskCount</t>
  </si>
  <si>
    <t>원페이지 13, 웹개발 · AI API 14</t>
  </si>
  <si>
    <t>14</t>
  </si>
  <si>
    <t>instructionSet</t>
  </si>
  <si>
    <t>Task 지시 목록</t>
  </si>
  <si>
    <t>TaskInstruction[]</t>
  </si>
  <si>
    <t>실행 시점에 생성된 지시문. 작업 분해의 실체</t>
  </si>
  <si>
    <t>instruction</t>
  </si>
  <si>
    <t>실행 지시문</t>
  </si>
  <si>
    <t>조율이 해당 Task에 맞춰 실행 시점에 작성한 지시</t>
  </si>
  <si>
    <t>reworkInput</t>
  </si>
  <si>
    <t>재작성 · 재수행 입력</t>
  </si>
  <si>
    <t>ReworkInput?</t>
  </si>
  <si>
    <t>재수행일 때만 채운다. 기존 결과 + 문제가 된 내용(검사 결과). 사용자 재작성 대상이 아니다 (5-6)</t>
  </si>
  <si>
    <t>{mode:"재수행", issues:["출처 없는 수치 2건"]}</t>
  </si>
  <si>
    <t>requirementAnalysis</t>
  </si>
  <si>
    <t>요구사항 분석 결과</t>
  </si>
  <si>
    <t>RequirementAnalysis</t>
  </si>
  <si>
    <t>문제정의 · 목표고객 · 차별점 묶음</t>
  </si>
  <si>
    <t>featureList</t>
  </si>
  <si>
    <t>기준 기능 목록</t>
  </si>
  <si>
    <t>string[]</t>
  </si>
  <si>
    <t>검증-2 대조의 기준이자 보호 토큰 "기능명"의 원본. 확정 후 다른 Agent가 변경할 수 없다</t>
  </si>
  <si>
    <t>["산책 도우미 검색","결제"]</t>
  </si>
  <si>
    <t>check</t>
  </si>
  <si>
    <t>검사 결과</t>
  </si>
  <si>
    <t>CheckResult</t>
  </si>
  <si>
    <t>Task가 스스로 한 검사의 통과 여부와 실패 내용. 조율이 이 값으로 재수행 여부를 정하고, 재수행 횟수를 넘기면 확정 동작 결과가 담긴다 (5-6)</t>
  </si>
  <si>
    <t>{passed:false, failures:["자금 합계 초과"]}</t>
  </si>
  <si>
    <t>marketAnalysis</t>
  </si>
  <si>
    <t>시장 분석 결과</t>
  </si>
  <si>
    <t>MarketAnalysis</t>
  </si>
  <si>
    <t>시장 정의 · 규모 · 경쟁 현황</t>
  </si>
  <si>
    <t>numericTokens</t>
  </si>
  <si>
    <t>수치 보호 토큰 후보</t>
  </si>
  <si>
    <t>Token[]</t>
  </si>
  <si>
    <t>시장 분석에서 산출된 수치. G-03이 보호 토큰에 넣어 검수 단계에서 변조가 차단된다</t>
  </si>
  <si>
    <t>formSpec</t>
  </si>
  <si>
    <t>양식 규격</t>
  </si>
  <si>
    <t>FormSpec</t>
  </si>
  <si>
    <t>이번 범위에서 신청자 유형으로 고른 양식의 섹션 코드와 서술 형식 (4-4, 6-4)</t>
  </si>
  <si>
    <t>재작성 · 재수행일 때만 채운다. 기존 결과 + 문제가 된 내용(검사 결과 또는 미달 사유). 첫 실행이면 비어 있다 (5-6)</t>
  </si>
  <si>
    <t>{mode:"재작성", issues:["실현가능성 13/20"]}</t>
  </si>
  <si>
    <t>planDoc</t>
  </si>
  <si>
    <t>사업계획서</t>
  </si>
  <si>
    <t>PlanDoc</t>
  </si>
  <si>
    <t>주 산출물. 문서층 채점과 검수의 대상</t>
  </si>
  <si>
    <t>sections</t>
  </si>
  <si>
    <t>계획서 섹션 목록</t>
  </si>
  <si>
    <t>PlanSection[]</t>
  </si>
  <si>
    <t>양식의 필수 항목과 1:1로 대응</t>
  </si>
  <si>
    <t>검증-2 대조의 기준이자 보호 토큰 "기능명"의 원본. 확정 후 다른 Agent가 변경할 수 없다 / T-S1 값 승계</t>
  </si>
  <si>
    <t>charts</t>
  </si>
  <si>
    <t>그래프 목록</t>
  </si>
  <si>
    <t>ChartSpec[]</t>
  </si>
  <si>
    <t>표와 시장 분석의 원본 수치에서만 파생된다</t>
  </si>
  <si>
    <t>tables</t>
  </si>
  <si>
    <t>표 목록</t>
  </si>
  <si>
    <t>TableSpec[]</t>
  </si>
  <si>
    <t>일정표 · 자금운용표를 포함</t>
  </si>
  <si>
    <t>evaluationItems</t>
  </si>
  <si>
    <t>평가항목</t>
  </si>
  <si>
    <t>EvalItem[]</t>
  </si>
  <si>
    <t>공고문에 공개된 항목. 문서층 채점의 기준</t>
  </si>
  <si>
    <t>rubric</t>
  </si>
  <si>
    <t>채점 기준표</t>
  </si>
  <si>
    <t>Rubric</t>
  </si>
  <si>
    <t>상수. 여기 정의되지 않은 기준으로 매긴 감점은 무효 처리한다 (5-5)</t>
  </si>
  <si>
    <t>temperature</t>
  </si>
  <si>
    <t>생성 온도</t>
  </si>
  <si>
    <t>float = 0</t>
  </si>
  <si>
    <t>채점은 0 고정, 검수는 0.2 이하 고정</t>
  </si>
  <si>
    <t>0</t>
  </si>
  <si>
    <t>docScore</t>
  </si>
  <si>
    <t>문서층 점수</t>
  </si>
  <si>
    <t>DocScore</t>
  </si>
  <si>
    <t>0~70. 기본 배점 기준 / total: float(0~70)</t>
  </si>
  <si>
    <t>52</t>
  </si>
  <si>
    <t>items</t>
  </si>
  <si>
    <t>문서층 항목 점수</t>
  </si>
  <si>
    <t>DocScoreItem[]</t>
  </si>
  <si>
    <t>항목별 점수와 근거 위치(evidenceLocator)</t>
  </si>
  <si>
    <t>varianceFlag</t>
  </si>
  <si>
    <t>편차 경고 플래그</t>
  </si>
  <si>
    <t>재채점 편차가 상한을 넘으면 참. 관리자 화면에 경고를 남긴다</t>
  </si>
  <si>
    <t>enum('웹개발','AI_API')</t>
  </si>
  <si>
    <t>prototype</t>
  </si>
  <si>
    <t>프로토타입</t>
  </si>
  <si>
    <t>Prototype</t>
  </si>
  <si>
    <t>단일 HTML 실행 파일. 양식 2-1 준비 정도의 증빙</t>
  </si>
  <si>
    <t>implementedFeatures</t>
  </si>
  <si>
    <t>구현 기능 목록</t>
  </si>
  <si>
    <t>구현 Agent의 자기 신고값. 대조 판정에는 쓰지 않는다. T-V2의 직접 파싱 결과와 다를 때 원인 추적용</t>
  </si>
  <si>
    <t>["산책 도우미 검색"]</t>
  </si>
  <si>
    <t>entryFilePath</t>
  </si>
  <si>
    <t>진입 파일 경로</t>
  </si>
  <si>
    <t>코드 검증 1번의 판정 대상. 없으면 코드 점수가 0으로 확정된다</t>
  </si>
  <si>
    <t>/prototype.html</t>
  </si>
  <si>
    <t>infographic</t>
  </si>
  <si>
    <t>인포그래픽</t>
  </si>
  <si>
    <t>Infographic</t>
  </si>
  <si>
    <t>계획서 삽입용 도식. altText가 비면 코드 검증 2번 미충족</t>
  </si>
  <si>
    <t>kind='html'은 단일 HTML, 'svg-onepage'은 단일 SVG. kind로 코드 검증 체크리스트가 갈린다</t>
  </si>
  <si>
    <t>artifactScore</t>
  </si>
  <si>
    <t>산출물층 점수</t>
  </si>
  <si>
    <t>ArtifactScore</t>
  </si>
  <si>
    <t>0~30. 코드 검증 + 계획서 대조 / total: float(0~30)</t>
  </si>
  <si>
    <t>19</t>
  </si>
  <si>
    <t>codeCheck</t>
  </si>
  <si>
    <t>코드 검증 결과</t>
  </si>
  <si>
    <t>CodeCheckResult</t>
  </si>
  <si>
    <t>0~15. 8항목 규칙 판정. LLM을 호출하지 않아 재현된다</t>
  </si>
  <si>
    <t>12</t>
  </si>
  <si>
    <t>featureMatch</t>
  </si>
  <si>
    <t>기능 대조 결과</t>
  </si>
  <si>
    <t>FeatureMatchResult</t>
  </si>
  <si>
    <t>0~15. 산출물을 직접 파싱해 featureList 실재 여부를 판정한다. max(0, 15 - 4 × 누락 건수)</t>
  </si>
  <si>
    <t>7</t>
  </si>
  <si>
    <t>주 산출물. 문서층 채점과 검수의 대상 / 점수 확정본</t>
  </si>
  <si>
    <t>formatSpec</t>
  </si>
  <si>
    <t>서술 형식 규격</t>
  </si>
  <si>
    <t>FormatSpec</t>
  </si>
  <si>
    <t>조율이 양식에서 주입한다. 미주입 시 임의 기본값으로 진행하지 않는다</t>
  </si>
  <si>
    <t>protectedTokens</t>
  </si>
  <si>
    <t>보호 토큰</t>
  </si>
  <si>
    <t>G-03(R-7)이 검수 진입 직전에 추출한 목록. 수치금액 · 날짜 · 고유명사 · 기능명. 값과 출현 횟수를 함께 본다</t>
  </si>
  <si>
    <t>formatFindings</t>
  </si>
  <si>
    <t>형식 위반 지적</t>
  </si>
  <si>
    <t>FormatFinding[]</t>
  </si>
  <si>
    <t>문장별 위반 유형. T-P2 지시문에 실린다</t>
  </si>
  <si>
    <t>targetSentenceIds</t>
  </si>
  <si>
    <t>윤문 대상 문장</t>
  </si>
  <si>
    <t>비어 있으면 T-P2가 실행되지 않는다</t>
  </si>
  <si>
    <t>["s-03","s-14"]</t>
  </si>
  <si>
    <t>sentence</t>
  </si>
  <si>
    <t>원문 문장</t>
  </si>
  <si>
    <t>Sentence</t>
  </si>
  <si>
    <t>검수와 재수행의 단위. 학습 데이터 분리 규칙으로 나눈 문장이며 제목인지 표시한다 (5-7)</t>
  </si>
  <si>
    <t>이 문장에 대한 T-P1 지적. 윤문 지시에 싣는다</t>
  </si>
  <si>
    <t>조율이 양식에서 주입한다</t>
  </si>
  <si>
    <t>redoHint</t>
  </si>
  <si>
    <t>재수행 지시</t>
  </si>
  <si>
    <t>소실 · 변조된 토큰을 명시해 같은 입력의 반복을 막는다</t>
  </si>
  <si>
    <t>["2026년 3월 유지"]</t>
  </si>
  <si>
    <t>redoCount</t>
  </si>
  <si>
    <t>현재 재수행 횟수</t>
  </si>
  <si>
    <t>문장 단위 누적값. 검수 재수행 횟수까지</t>
  </si>
  <si>
    <t>1</t>
  </si>
  <si>
    <t>float &lt;= 0.2</t>
  </si>
  <si>
    <t>revised</t>
  </si>
  <si>
    <t>교정 문장</t>
  </si>
  <si>
    <t>검수 모델 출력. 여러 문장이어도 그 자리에 둔다(제목은 예외). 불변식 검사를 통과해야 채택된다</t>
  </si>
  <si>
    <t>tokenCheck</t>
  </si>
  <si>
    <t>토큰 검사 결과</t>
  </si>
  <si>
    <t>TokenCheckResult</t>
  </si>
  <si>
    <t>다중집합 비교 판정 결과. 위반은 missing · altered · contaminated 세 유형으로 나뉜다</t>
  </si>
  <si>
    <t>adopted</t>
  </si>
  <si>
    <t>채택 여부</t>
  </si>
  <si>
    <t>거짓이면 원문을 유지하고 관리자 로그에 기록한다</t>
  </si>
  <si>
    <t>keptReason</t>
  </si>
  <si>
    <t>원문 유지 사유</t>
  </si>
  <si>
    <t>enum('검증실패','호출실패','조기중단')?</t>
  </si>
  <si>
    <t>adopted=false일 때만 채운다. 호출실패는 6-6 학습 데이터 회수 대상이 아니다</t>
  </si>
  <si>
    <t>"호출실패"</t>
  </si>
  <si>
    <t>finalRedoCount</t>
  </si>
  <si>
    <t>최종 재수행 횟수</t>
  </si>
  <si>
    <t>횟수 도달 여부 판단과 로그용</t>
  </si>
  <si>
    <t>2</t>
  </si>
  <si>
    <t>신청자 유형 · 설립일자 등 신청자 정보 / applicantType 필수. 개인사업자 · 법인은 foundedAt 필수</t>
  </si>
  <si>
    <t>{applicantType:"법인", foundedAt:"2025-03-02"}</t>
  </si>
  <si>
    <t>eligibility</t>
  </si>
  <si>
    <t>자격요건 규칙</t>
  </si>
  <si>
    <t>EligibilityRule</t>
  </si>
  <si>
    <t>공고의 정형화된 지원대상 조건</t>
  </si>
  <si>
    <t>eligibilityParsed</t>
  </si>
  <si>
    <t>정형화 성공 여부</t>
  </si>
  <si>
    <t>거짓이면 판정 불가로 처리한다. 추정으로 채우지 않는다</t>
  </si>
  <si>
    <t>참</t>
  </si>
  <si>
    <t>businessAgeYears</t>
  </si>
  <si>
    <t>업력</t>
  </si>
  <si>
    <t>float?</t>
  </si>
  <si>
    <t>설립일자와 기준일자로 자동 계산. 직접 입력받지 않는다. 예비창업자는 null</t>
  </si>
  <si>
    <t>1.5</t>
  </si>
  <si>
    <t>문서 평가 판정</t>
  </si>
  <si>
    <t>0~70. 기본 배점 기준</t>
  </si>
  <si>
    <t>threshold</t>
  </si>
  <si>
    <t>통과 기준점</t>
  </si>
  <si>
    <t>float = 80</t>
  </si>
  <si>
    <t>관리자 설정값. 기본 80</t>
  </si>
  <si>
    <t>80</t>
  </si>
  <si>
    <t>reworkUsage</t>
  </si>
  <si>
    <t>묶음별 재작성 사용 기록</t>
  </si>
  <si>
    <t>BundleUsage[]</t>
  </si>
  <si>
    <t>묶음마다 쓴 재작성 횟수와 남은 기회. 문서 평가 · 산출물 확인 · 종합 평가가 같은 기록을 쓴다. 재작성이 실패하면 기회를 돌려준다</t>
  </si>
  <si>
    <t>[{bundleId:"묶음-2", usedCount:1, remaining:0}]</t>
  </si>
  <si>
    <t>selectedOrders</t>
  </si>
  <si>
    <t>선택한 재작성 묶음</t>
  </si>
  <si>
    <t>ReworkOrder[]?</t>
  </si>
  <si>
    <t>사용자가 고른 묶음. 비어 있으면 최초 판정이거나 진행 선택이다</t>
  </si>
  <si>
    <t>[{taskId:"T-W1", unit:"묶음", targets:["묶음-2"]}]</t>
  </si>
  <si>
    <t>checks</t>
  </si>
  <si>
    <t>검사 결과 목록</t>
  </si>
  <si>
    <t>CheckResult[]?</t>
  </si>
  <si>
    <t>이번 사이클 Task들의 검사 결과. 확정 동작으로 지운 서술(T-W1)을 화면에 함께 알린다</t>
  </si>
  <si>
    <t>userAction</t>
  </si>
  <si>
    <t>사용자 선택</t>
  </si>
  <si>
    <t>enum('재작성','진행')?</t>
  </si>
  <si>
    <t>2회차 이후 입력. 없으면 최초 판정</t>
  </si>
  <si>
    <t>"재작성"</t>
  </si>
  <si>
    <t>scoreReport</t>
  </si>
  <si>
    <t>채점 리포트</t>
  </si>
  <si>
    <t>ScoreReport</t>
  </si>
  <si>
    <t>phase='document'. 문서층 70점을 100점으로 환산한 displayScore를 함께 담는다 (4-5)</t>
  </si>
  <si>
    <t>failedTaskIds</t>
  </si>
  <si>
    <t>재작성 대상 Task</t>
  </si>
  <si>
    <t>산정 규칙은 시트 [7_재작성·재수행매핑]을 따른다</t>
  </si>
  <si>
    <t>["T-W1","T-W3"]</t>
  </si>
  <si>
    <t>reworkOrders</t>
  </si>
  <si>
    <t>재작성 지시</t>
  </si>
  <si>
    <t>ReworkOrder[]</t>
  </si>
  <si>
    <t>각 재작성 대상의 단위 · 대상 · 사유 · 덧붙일 지시(문제가 된 내용). Task ID만으로는 묶음 단위 재작성을 지시할 수 없다</t>
  </si>
  <si>
    <t>[{taskId:"T-W1", unit:"묶음", targets:["묶음-2"], reason:"실현가능성 13/20"}]</t>
  </si>
  <si>
    <t>nextAction</t>
  </si>
  <si>
    <t>다음 동작</t>
  </si>
  <si>
    <t>enum('진행가능','재작성권유','상한도달')</t>
  </si>
  <si>
    <t>재작성은 사용자가 요청할 때만 실행된다. 권유 상태에서 그대로 진행하는 선택도 허용한다 (5-6)</t>
  </si>
  <si>
    <t>"재작성권유"</t>
  </si>
  <si>
    <t>실행 안내 문서 생성</t>
  </si>
  <si>
    <t>파일 경로와 kind. kind='html'이면 브라우저 열기, 'svg-onepage'이면 열기와 인쇄 방법을 담는다</t>
  </si>
  <si>
    <t>파일 목록 슬롯의 값</t>
  </si>
  <si>
    <t>아이템명 슬롯의 값</t>
  </si>
  <si>
    <t>announcement</t>
  </si>
  <si>
    <t>공고명 슬롯의 값</t>
  </si>
  <si>
    <t>readmePath</t>
  </si>
  <si>
    <t>실행 안내 문서 경로</t>
  </si>
  <si>
    <t>실행 · 열람 방법, 파일 목록, AI 생성 고지를 담은 README. 코드 검증 항목(웹개발 7번 · 원페이지 8번)의 판정 대상 (5-4, 6-8)</t>
  </si>
  <si>
    <t>/README.md</t>
  </si>
  <si>
    <t>종합 평가 판정</t>
  </si>
  <si>
    <t>G-02a에서 확정된 값. 계획서 항목을 다시 만들면(layer='document') T-V1 재채점 값으로 갱신하고, 아니면 승계한다</t>
  </si>
  <si>
    <t>{total:60}</t>
  </si>
  <si>
    <t>코드 검증과 계획서 대조의 합</t>
  </si>
  <si>
    <t>{total:26}</t>
  </si>
  <si>
    <t>사용자가 고른 묶음. 계획서와 프로토타입 항목이 한 목록에 있다 (4-7)</t>
  </si>
  <si>
    <t>[{taskId:"T-B1", layer:"artifact"}]</t>
  </si>
  <si>
    <t>종합 평가 결과</t>
  </si>
  <si>
    <t>phase='overall'. 총점 100점을 환산 없이 그대로 표기한다</t>
  </si>
  <si>
    <t>{total:86, passed:true}</t>
  </si>
  <si>
    <t>["T-B1"]</t>
  </si>
  <si>
    <t>계획서와 프로토타입의 미달 항목을 한 목록으로 낸다. layer로 두 층을 구분한다 (4-7)</t>
  </si>
  <si>
    <t>[{taskId:"T-B1", layer:"artifact", reason:"대조 7/15"}]</t>
  </si>
  <si>
    <t>진행가능이면 검수 단계(G-03)를 연다. 미달 상태로 진행할 때는 확인 절차를 거친다 (4-7)</t>
  </si>
  <si>
    <t>"진행가능"</t>
  </si>
  <si>
    <t>reworkDiff</t>
  </si>
  <si>
    <t>재작성 변경 내역</t>
  </si>
  <si>
    <t>ReworkDiff[]</t>
  </si>
  <si>
    <t>이번 재작성으로 바뀐 항목의 전후 대비. 계획서 재작성이 HTML에 반영되면 그 변경도 담는다. 승계된 층은 담지 않는다 (4-7)</t>
  </si>
  <si>
    <t>[{taskId:"T-B1", beforeSummary:"대조 7/15", afterSummary:"대조 11/15"}]</t>
  </si>
  <si>
    <t>보호 토큰 추출</t>
  </si>
  <si>
    <t>토큰 추출 원문. 검수로 넘어가는 시점의 확정본</t>
  </si>
  <si>
    <t>{sections:[...]}</t>
  </si>
  <si>
    <t>supportAmountText · applyEnd · title · agency가 토큰 원본</t>
  </si>
  <si>
    <t>{announcementId:"KS-2026-0388"}</t>
  </si>
  <si>
    <t>representativeName이 고유명사 토큰</t>
  </si>
  <si>
    <t>{representativeName:"김서준"}</t>
  </si>
  <si>
    <t>기능 목록</t>
  </si>
  <si>
    <t>그대로 기능명 토큰이 된다. 별도 구축 비용이 없다</t>
  </si>
  <si>
    <t>["회원 등록·조회","수업 예약"]</t>
  </si>
  <si>
    <t>첨부에서 인용한 수치 · 고유명사(citedNumbers)를 보호 토큰에 넣는다 (4-6)</t>
  </si>
  <si>
    <t>T-S2가 시장 분석에서 산출한 수치. 보호 토큰에 넣는다</t>
  </si>
  <si>
    <t>값 · 유형 · 출현 횟수. R-5의 다중집합 비교 기준</t>
  </si>
  <si>
    <t>[{type:"수치금액", value:"1억원", count:1}]</t>
  </si>
  <si>
    <t>주 산출물. 문서층 채점과 검수의 대상 / 검수 반영본</t>
  </si>
  <si>
    <t>kind='html'이면 단일 HTML 실행 파일, 'svg-onepage'이면 단일 SVG. 양식 2-1 준비 정도의 증빙</t>
  </si>
  <si>
    <t>총점 · 통과 여부와 판정 시점의 설정값을 함께 기록한다</t>
  </si>
  <si>
    <t>proofreadLog</t>
  </si>
  <si>
    <t>검수 로그</t>
  </si>
  <si>
    <t>ProofreadLog</t>
  </si>
  <si>
    <t>보호 토큰 보존율과 원문 유지 문장 기록(검증 실패 · 호출 실패 구분)</t>
  </si>
  <si>
    <t>deliverable</t>
  </si>
  <si>
    <t>최종 산출물 묶음</t>
  </si>
  <si>
    <t>Deliverable</t>
  </si>
  <si>
    <t>계획서 + 프로토타입 + 검증 결과의 세 겹</t>
  </si>
  <si>
    <t>userMessage</t>
  </si>
  <si>
    <t>안내 문구</t>
  </si>
  <si>
    <t>사용자에게 돌려줄 안내 문구. 미달 항목이 있으면 항목별로 명시한다</t>
  </si>
  <si>
    <t>계획서 · 프로토타입 · 검증 결과를 내려받을 수 있습니다.</t>
  </si>
  <si>
    <t>필드</t>
  </si>
  <si>
    <t>타입 표기</t>
  </si>
  <si>
    <t>Null 허용</t>
  </si>
  <si>
    <t>제약 / 설명</t>
  </si>
  <si>
    <t>Account</t>
  </si>
  <si>
    <t>계정</t>
  </si>
  <si>
    <t>accountId</t>
  </si>
  <si>
    <t>N</t>
  </si>
  <si>
    <t>내부 식별자</t>
  </si>
  <si>
    <t>provider</t>
  </si>
  <si>
    <t>enum('google')</t>
  </si>
  <si>
    <t>로그인 수단. 관리자도 같은 경로로 로그인한다</t>
  </si>
  <si>
    <t>email</t>
  </si>
  <si>
    <t>구글 계정 이메일. 계정 삭제 시 즉시 삭제 (6-7)</t>
  </si>
  <si>
    <t>displayName</t>
  </si>
  <si>
    <t>프로필명</t>
  </si>
  <si>
    <t>role</t>
  </si>
  <si>
    <t>enum('user','admin')</t>
  </si>
  <si>
    <t>관리자 권한. 별도 로그인 수단을 두지 않고 이 필드로 구분한다. 인증을 이중 관리하지 않아도 되고 권한 변경이 계정 설정으로 처리된다. 부여·회수는 관리자만 수행하며 변경 이력을 남긴다 (6-7)</t>
  </si>
  <si>
    <t>consents</t>
  </si>
  <si>
    <t>Consent[]</t>
  </si>
  <si>
    <t>동의 이력</t>
  </si>
  <si>
    <t>createdAt</t>
  </si>
  <si>
    <t>가입일</t>
  </si>
  <si>
    <t>profileCount</t>
  </si>
  <si>
    <t>int(0~3)</t>
  </si>
  <si>
    <t>저장된 마이페이지 프로필 수. 계정당 최대 3개. 0이면 프로필 작성으로 안내하고 새 실행을 시작할 수 없다. 최초 로그인과 프로필을 모두 지운 경우가 해당한다 (4-2 ⓪-1, 6-7, E-AUTH-PROFILE)</t>
  </si>
  <si>
    <t>Consent</t>
  </si>
  <si>
    <t>동의</t>
  </si>
  <si>
    <t>type</t>
  </si>
  <si>
    <t>enum('약관','개인정보','학습편입','알림수신')</t>
  </si>
  <si>
    <t>앞 2건은 필수, 뒤 2건은 선택. 선택 동의를 필수에 묶으면 서비스를 쓰려면 자기 문장을 학습에 내주어야 하는 구조가 된다 (6-7) '알림수신'은 메일 알림 수신 동의이며, 메일 알림은 향후 도입이다 (4-2 ⑧)</t>
  </si>
  <si>
    <t>required</t>
  </si>
  <si>
    <t>필수 동의 여부</t>
  </si>
  <si>
    <t>agreed</t>
  </si>
  <si>
    <t>필수 동의를 거부하면 진입을 중단한다 (4-7 E7)</t>
  </si>
  <si>
    <t>agreedAt</t>
  </si>
  <si>
    <t>datetime?</t>
  </si>
  <si>
    <t>Y</t>
  </si>
  <si>
    <t>동의 시각</t>
  </si>
  <si>
    <t>revokedAt</t>
  </si>
  <si>
    <t>철회 시각. 철회 이후 수집을 중단한다. 이미 라벨링을 마쳐 학습에 반영된 데이터는 되돌릴 수 없으므로 동의 화면에 함께 안내한다 (6-7)</t>
  </si>
  <si>
    <t>Run</t>
  </si>
  <si>
    <t>실행 건</t>
  </si>
  <si>
    <t>runId</t>
  </si>
  <si>
    <t>실행 식별자</t>
  </si>
  <si>
    <t>귀속 계정</t>
  </si>
  <si>
    <t>state</t>
  </si>
  <si>
    <t>RunState</t>
  </si>
  <si>
    <t>서비스 상태(단계 · 진행 상태). 이어하기 복귀 지점과 화면 상태의 근거 (5-8)</t>
  </si>
  <si>
    <t>announcementId</t>
  </si>
  <si>
    <t>string?</t>
  </si>
  <si>
    <t>선택 공고. 공고 선택 전에는 없다</t>
  </si>
  <si>
    <t>currentPhase</t>
  </si>
  <si>
    <t>enum('setup','document','artifact','review')</t>
  </si>
  <si>
    <t>실행 단계. 재작성 사이클이 어느 층에서 도는지를 가른다</t>
  </si>
  <si>
    <t>attempts</t>
  </si>
  <si>
    <t>AttemptRef[]</t>
  </si>
  <si>
    <t>Task별 시도 이력. 이전 결과를 삭제하지 않고 보존한다 (5-6)</t>
  </si>
  <si>
    <t>settingsSnapshot</t>
  </si>
  <si>
    <t>object</t>
  </si>
  <si>
    <t>실행을 시작할 때의 설정값(층별 배점 · Threshold · 1_개요의 횟수 · 간격 설정값). 실행 중 설정이 바뀌어도 이 값을 끝까지 쓴다 (5-6)</t>
  </si>
  <si>
    <t>묶음별 재작성 사용 기록. 문서 평가 · 산출물 확인 · 종합 평가가 함께 쓴다 (5-6)</t>
  </si>
  <si>
    <t>reworkScreen</t>
  </si>
  <si>
    <t>int?</t>
  </si>
  <si>
    <t>재작성 중이면 요청한 화면(6 · 8 · 9), 아니면 null. 재작성 중에는 이 화면에서 '진행 중'으로 보이고 이어하기로 돌아와도 이 화면으로 온다. 재작성 중 실패는 실행 실패가 아니다 (5-8)</t>
  </si>
  <si>
    <t>currentTask</t>
  </si>
  <si>
    <t>지금 실행 중인 Task ID. 재개할 때 실패한 지점을 가리킨다 (R-11)</t>
  </si>
  <si>
    <t>retryCount</t>
  </si>
  <si>
    <t>현재 호출의 재시도 횟수. 재개할 때마다 다시 채운다 (R-11)</t>
  </si>
  <si>
    <t>resumeCount</t>
  </si>
  <si>
    <t>재개 횟수. 재개 횟수 설정값이나 재개 총 대기 상한을 넘기면 실패로 끝낸다 (R-11)</t>
  </si>
  <si>
    <t>nextResumeAt</t>
  </si>
  <si>
    <t>다음 재개 시각. progress='재개대기'일 때만 있다</t>
  </si>
  <si>
    <t>lastErrorKind</t>
  </si>
  <si>
    <t>enum('일시','입력','운영')?</t>
  </si>
  <si>
    <t>마지막 오류 종류. 일시 오류만 재개한다. 입력 · 운영 쪽은 영구 오류로 보고 실패로 끝내며, 사용자에게는 일시적 문제로 안내하고 관리자에게 알린다 (5-8)</t>
  </si>
  <si>
    <t>updatedAt</t>
  </si>
  <si>
    <t>마지막 갱신 시각. 관리자 진행 현황의 정체 판정 기준</t>
  </si>
  <si>
    <t>실행 상태</t>
  </si>
  <si>
    <t>step</t>
  </si>
  <si>
    <t>enum('공고선택','자격확인','계획서작성','문서평가','프로토타입제작','산출물확인','종합평가','표현검수','결과물')</t>
  </si>
  <si>
    <t>단계. 기획서 4-7 기본 흐름의 화면 3~11에 대응한다. '산출물확인'은 점검 결과를 보여주는 단계로 합격선을 판정하지 않는다 (4-5). '표현검수'에 들어오면 이전 단계로 돌아가지 않는다 (4-7, 5-8)</t>
  </si>
  <si>
    <t>progress</t>
  </si>
  <si>
    <t>enum('실행','재개대기','사용자대기','실패','완료','중단')</t>
  </si>
  <si>
    <t>진행 상태. '실행'은 재시도를 포함한다. '사용자대기'는 문서 평가 · 산출물 확인 · 종합 평가에서 사용자의 선택을 기다리는 정상 상태이며 오류가 아니다. 관리자 진행 현황에서 오류와 구분해 표시한다. '실패' · '중단'으로 끝난 실행에는 들어갈 수 없다 (4-7, 5-8)</t>
  </si>
  <si>
    <t>screenStatus</t>
  </si>
  <si>
    <t>enum('진행 중','확인 필요','문제 발생','완료','중단됨')</t>
  </si>
  <si>
    <t>화면 상태. 저장하지 않고 progress에서 계산한다. 실행 · 재개대기 → 진행 중, 사용자대기 → 확인 필요, 실패 → 문제 발생, 완료 → 완료, 중단 → 중단됨. 계정당 1건 제한은 진행 중 · 확인 필요만 센다 (5-8)</t>
  </si>
  <si>
    <t>resumeStep</t>
  </si>
  <si>
    <t>이어하기 복귀 화면 번호(4-7 기본 흐름 11단계 기준). 공고선택 3 · 자격확인 3 · 계획서작성 5 · 문서평가 6 · 프로토타입제작 7 · 산출물확인 8 · 종합평가 9 · 표현검수 10 · 결과물 11. 재작성 중이면 요청한 화면(6 · 8 · 9)이다. 사전 정보 입력 단계는 입력값이 확정되기 전이라 이어하기 대상이 아니다</t>
  </si>
  <si>
    <t>AttemptRef</t>
  </si>
  <si>
    <t>시도 이력</t>
  </si>
  <si>
    <t>taskId</t>
  </si>
  <si>
    <t>시도한 Task. G-02a · G-02b 판정도 포함한다</t>
  </si>
  <si>
    <t>attempt</t>
  </si>
  <si>
    <t>몇 번째 시도인지. 1부터 센다</t>
  </si>
  <si>
    <t>trigger</t>
  </si>
  <si>
    <t>enum('첫실행','재작성','재수행')</t>
  </si>
  <si>
    <t>이 시도가 생긴 이유. 재작성 횟수는 '재작성'만 센다. 재시도는 같은 호출을 다시 보내는 것이라 시도를 새로 만들지 않는다</t>
  </si>
  <si>
    <t>bundleId</t>
  </si>
  <si>
    <t>재작성이면 대상 묶음</t>
  </si>
  <si>
    <t>resultRef</t>
  </si>
  <si>
    <t>이 시도가 만든 결과(산출물 버전)의 저장 위치. 재작성 전후 비교와 되돌리기의 기준이며, 이전 결과를 삭제하지 않고 보존한다 (5-6)</t>
  </si>
  <si>
    <t>시도 시각</t>
  </si>
  <si>
    <t>Notification</t>
  </si>
  <si>
    <t>작업 알림</t>
  </si>
  <si>
    <t>대상 실행 건</t>
  </si>
  <si>
    <t>kind</t>
  </si>
  <si>
    <t>enum('문서평가','산출물확인','표현검수','실패')</t>
  </si>
  <si>
    <t>끝난 단계(검증-1 · 검증-2 · 검수) 또는 '실패'. '실패'는 실행 실패와 재작성 실패에 함께 쓴다 (4-2 ⑧, 5-8)</t>
  </si>
  <si>
    <t>failureScope</t>
  </si>
  <si>
    <t>enum('실행','재작성')?</t>
  </si>
  <si>
    <t>kind='실패'일 때만. 실행 실패는 실행을 끝내고, 재작성 실패는 요청 전 결과로 되돌린 뒤 기회를 돌려준다</t>
  </si>
  <si>
    <t>targetStep</t>
  </si>
  <si>
    <t>알림을 누르면 들어가는 화면 번호(4-7 기본 흐름). 문서평가 6 · 산출물확인 8 · 표현검수 10. 재작성 실패는 요청한 화면(6 · 8 · 9)이고, 실행 실패는 들어갈 화면이 없으므로 null이며 이어하기 목록으로 연결한다</t>
  </si>
  <si>
    <t>channel</t>
  </si>
  <si>
    <t>enum('화면')</t>
  </si>
  <si>
    <t>지금은 서비스 화면 안에만 표시한다. 메일 알림은 향후 도입</t>
  </si>
  <si>
    <t>알림 생성 시각. 재작성으로 검증을 다시 실행하면 새로 만든다</t>
  </si>
  <si>
    <t>readAt</t>
  </si>
  <si>
    <t>사용자가 확인한 시각</t>
  </si>
  <si>
    <t>representativeName</t>
  </si>
  <si>
    <t>대표자 이름. 마이페이지 필수 항목</t>
  </si>
  <si>
    <t>representativeCareer</t>
  </si>
  <si>
    <t>대표자 이력. 마이페이지 필수 항목. 작성 Agent는 입력된 이력만 쓴다 (4-6)</t>
  </si>
  <si>
    <t>foundedAt</t>
  </si>
  <si>
    <t>date?</t>
  </si>
  <si>
    <t>설립일자. 개인사업자 · 법인은 자격 게이트 필수 입력이며(프로젝트 작성란), 예비창업자는 없다</t>
  </si>
  <si>
    <t>foundedAt에서 자동 계산. 직접 입력받지 않는다. 예비창업자는 null</t>
  </si>
  <si>
    <t>applicantType</t>
  </si>
  <si>
    <t>enum('예비창업자','개인사업자','법인')</t>
  </si>
  <si>
    <t>자격 게이트 필수 입력. 마이페이지 필수 항목</t>
  </si>
  <si>
    <t>revenueUnitPrice</t>
  </si>
  <si>
    <t>수익모델 단가. 필수 입력. AI가 지어내면 매출 추정 전체가 근거를 잃고 성장전략 평가항목 감점으로 직결된다 (4-6)</t>
  </si>
  <si>
    <t>teamCareers</t>
  </si>
  <si>
    <t>팀 구성원(구성과 경력). 마이페이지 필수 항목. 작성 Agent는 입력된 경력만 쓰고 없는 경력을 지어내지 않는다 (4-6)</t>
  </si>
  <si>
    <t>region</t>
  </si>
  <si>
    <t>희망 지역. 마이페이지 필수 항목. 공고 매칭 순위와 계획서 작성에 쓴다. 정형 필터와 게이트 대조에는 쓰지 않는다 (4-2, 5-3)</t>
  </si>
  <si>
    <t>industryCode</t>
  </si>
  <si>
    <t>주 업종. 마이페이지 필수 항목. 쓰임은 region과 같다</t>
  </si>
  <si>
    <t>birthDate</t>
  </si>
  <si>
    <t>대표자 생년월일. 마이페이지 필수 항목. 가산점 확인에 쓰며 게이트 대조 대상이 아니다</t>
  </si>
  <si>
    <t>gender</t>
  </si>
  <si>
    <t>성별. 마이페이지 필수 항목. 가산점 확인에 쓴다. 허용값 미정</t>
  </si>
  <si>
    <t>certifications</t>
  </si>
  <si>
    <t>string[]?</t>
  </si>
  <si>
    <t>보유 인증 · 가입 확인서. 마이페이지 선택 항목. 노란우산공제 등 가입 항목을 선택하는 방식이다. 허용값 목록 미정</t>
  </si>
  <si>
    <t>hiringPlan</t>
  </si>
  <si>
    <t>채용 계획. 프로젝트 작성란 필수 항목. 해당 사항이 없으면 '없음'을 고른다</t>
  </si>
  <si>
    <t>facilities</t>
  </si>
  <si>
    <t>장비 · 시설. 프로젝트 작성란 필수 항목. 해당 사항이 없으면 '없음'을 고른다</t>
  </si>
  <si>
    <t>partners</t>
  </si>
  <si>
    <t>협력 파트너 · 기관. 프로젝트 작성란 필수 항목. 해당 사항이 없으면 '없음'을 고른다</t>
  </si>
  <si>
    <t>isFirstStartup</t>
  </si>
  <si>
    <t>bool?</t>
  </si>
  <si>
    <t>첫 창업 여부. 예비창업자 필수 항목</t>
  </si>
  <si>
    <t>desiredScale</t>
  </si>
  <si>
    <t>희망 사업 규모. 예비창업자 필수 항목. 값 형식 미정. 예비창업자 정보의 추가 항목은 파악 중</t>
  </si>
  <si>
    <t>businessRegNo</t>
  </si>
  <si>
    <t>사업자등록번호. 개인사업자 · 법인만 입력한다(프로젝트 작성란)</t>
  </si>
  <si>
    <t>selfFundAmount</t>
  </si>
  <si>
    <t>자기부담금. 개인사업자 · 법인 필수 항목(프로젝트 작성란). 단위 원</t>
  </si>
  <si>
    <t>itemName</t>
  </si>
  <si>
    <t>oneLineSummary</t>
  </si>
  <si>
    <t>targetCustomer</t>
  </si>
  <si>
    <t>coreFeatures</t>
  </si>
  <si>
    <t>1건 이상. featureList의 원본</t>
  </si>
  <si>
    <t>내부 판정값. 선택 UI로 노출하지 않는다</t>
  </si>
  <si>
    <t>keywords</t>
  </si>
  <si>
    <t>임베딩 질의 생성에 사용</t>
  </si>
  <si>
    <t>사전 정보 입력 (마이페이지 프로필 + 프로젝트 작성란)</t>
  </si>
  <si>
    <t>ideaText</t>
  </si>
  <si>
    <t>아이디어 설명. 프로젝트 작성란 필수. 카테고리 판정과 임베딩 질의의 원본</t>
  </si>
  <si>
    <t>자격 게이트 필수 입력. 마이페이지 필수. 값에 따라 유형별 항목이 갈린다</t>
  </si>
  <si>
    <t>대표자 이름. 마이페이지 필수</t>
  </si>
  <si>
    <t>대표자 이력. 마이페이지 필수</t>
  </si>
  <si>
    <t>설립일자. 개인사업자 · 법인 필수(프로젝트 작성란). 예비창업자는 없다. 업력이 자동 계산된다</t>
  </si>
  <si>
    <t>수익모델 단가. 프로젝트 작성란 필수</t>
  </si>
  <si>
    <t>developmentPeriod</t>
  </si>
  <si>
    <t>개발 기간. 프로젝트 작성란 필수. 값 형식과 후속 Task에서의 쓰임은 미정</t>
  </si>
  <si>
    <t>팀 구성원(구성과 경력). 마이페이지 필수</t>
  </si>
  <si>
    <t>대표자 생년월일. 마이페이지 필수</t>
  </si>
  <si>
    <t>성별. 마이페이지 필수. 허용값 미정</t>
  </si>
  <si>
    <t>희망 지역. 마이페이지 필수</t>
  </si>
  <si>
    <t>주 업종. 마이페이지 필수</t>
  </si>
  <si>
    <t>보유 인증 · 가입 확인서(노란우산공제 포함). 마이페이지 선택. 허용값 목록 미정</t>
  </si>
  <si>
    <t>채용 계획. 프로젝트 작성란 필수. 해당 사항이 없으면 '없음'을 고른다</t>
  </si>
  <si>
    <t>장비 · 시설. 프로젝트 작성란 필수. 해당 사항이 없으면 '없음'을 고른다</t>
  </si>
  <si>
    <t>협력 파트너 · 기관. 프로젝트 작성란 필수. 해당 사항이 없으면 '없음'을 고른다</t>
  </si>
  <si>
    <t>첫 창업 여부. 예비창업자 필수(프로젝트 작성란의 예비창업자 정보)</t>
  </si>
  <si>
    <t>희망 사업 규모. 예비창업자 필수(프로젝트 작성란의 예비창업자 정보). 값 형식 미정. 추가 항목 파악 중</t>
  </si>
  <si>
    <t>사업자등록번호. 개인사업자 · 법인 항목(프로젝트 작성란), 선택</t>
  </si>
  <si>
    <t>자기부담금. 개인사업자 · 법인 필수(프로젝트 작성란). 단위 원</t>
  </si>
  <si>
    <t>attachments</t>
  </si>
  <si>
    <t>File[]?</t>
  </si>
  <si>
    <t>참고 문서. 사전 정보 입력에서 선택으로 첨부한다. .docx · .hwp · .hwpx</t>
  </si>
  <si>
    <t>File</t>
  </si>
  <si>
    <t>업로드 파일</t>
  </si>
  <si>
    <t>fileName</t>
  </si>
  <si>
    <t>원본 파일명</t>
  </si>
  <si>
    <t>format</t>
  </si>
  <si>
    <t>enum('docx','hwp','hwpx')</t>
  </si>
  <si>
    <t>지원 형식 (4-6)</t>
  </si>
  <si>
    <t>uploadedAt</t>
  </si>
  <si>
    <t>업로드 시각. 원본은 R-8의 텍스트 추출 직후 파기한다 (6-7)</t>
  </si>
  <si>
    <t>ReferenceDoc</t>
  </si>
  <si>
    <t>docId</t>
  </si>
  <si>
    <t>문서 식별자</t>
  </si>
  <si>
    <t>원본 파일명. 시장 수치의 sourceName으로 인용될 수 있다</t>
  </si>
  <si>
    <t>형식별 추출 품질은 사전 검증을 마쳤다 (4-6)</t>
  </si>
  <si>
    <t>extractedText</t>
  </si>
  <si>
    <t>R-8이 추출한 본문. 원문을 후속 Task 지시에 그대로 싣지 않는다</t>
  </si>
  <si>
    <t>extractStatus</t>
  </si>
  <si>
    <t>enum('성공','부분','실패')</t>
  </si>
  <si>
    <t>실패 시 해당 문서를 참조 대상에서 제외한다. 파이프라인은 첨부 없이 진행한다</t>
  </si>
  <si>
    <t>originalDiscardedAt</t>
  </si>
  <si>
    <t>원본 파일 파기 시각. 텍스트 추출 직후 원본을 파기한다. 원본에는 추출에 쓰이지 않는 개인정보와 편집 이력이 남아 있을 수 있고, 보관하지 않으면 유출 위험 자체가 사라진다 (6-7)</t>
  </si>
  <si>
    <t>ReferenceSummary</t>
  </si>
  <si>
    <t>docIds</t>
  </si>
  <si>
    <t>참조한 문서 목록</t>
  </si>
  <si>
    <t>excerpts</t>
  </si>
  <si>
    <t>Excerpt[]</t>
  </si>
  <si>
    <t>슬롯별로 나눈 발췌. 전략 · 작성 · 구현 지시에 필요한 조각만 실린다</t>
  </si>
  <si>
    <t>citedNumbers</t>
  </si>
  <si>
    <t>첨부에서 인용한 수치 · 고유명사. 보호 토큰 추출 대상에 포함한다 (4-6)</t>
  </si>
  <si>
    <t>isolationNote</t>
  </si>
  <si>
    <t>참조 자료가 데이터이지 지시가 아님을 후속 Agent 지시에 명시하는 고정 문구</t>
  </si>
  <si>
    <t>Excerpt</t>
  </si>
  <si>
    <t>참조 발췌</t>
  </si>
  <si>
    <t>발췌한 문서 (ReferenceDoc.docId)</t>
  </si>
  <si>
    <t>slot</t>
  </si>
  <si>
    <t>발췌가 실릴 지시 슬롯. 예: 시장 규모, 핵심 기능</t>
  </si>
  <si>
    <t>text</t>
  </si>
  <si>
    <t>발췌 본문. 후속 Agent 지시에 데이터로 격리 표기해 싣는다 (4-2)</t>
  </si>
  <si>
    <t>공고</t>
  </si>
  <si>
    <t>PK</t>
  </si>
  <si>
    <t>title</t>
  </si>
  <si>
    <t>보호 토큰(고유명사) 원본</t>
  </si>
  <si>
    <t>agency</t>
  </si>
  <si>
    <t>supportField</t>
  </si>
  <si>
    <t>enum('창업(06)','기술개발(02)')</t>
  </si>
  <si>
    <t>수집 범위. 6-2</t>
  </si>
  <si>
    <t>applyStart / applyEnd</t>
  </si>
  <si>
    <t>applyEnd가 양식 3-3 일정의 기준선이자 보호 토큰(날짜)</t>
  </si>
  <si>
    <t>status</t>
  </si>
  <si>
    <t>enum('모집중','마감')</t>
  </si>
  <si>
    <t>정형 필터 1차 조건</t>
  </si>
  <si>
    <t>자격 게이트 입력</t>
  </si>
  <si>
    <t>false면 게이트에서 판정 불가로 처리</t>
  </si>
  <si>
    <t>supportAmountMax</t>
  </si>
  <si>
    <t>단위 원. 자격 · 자금운용 계획의 상한 계산에만 쓴다</t>
  </si>
  <si>
    <t>supportAmountText</t>
  </si>
  <si>
    <t>공고 원문의 금액 표기 그대로. 예: '1억원'. 보호 토큰(금액)의 원본이며 계획서 본문에는 이 값을 쓴다. 정규화된 숫자를 쓰면 파이프라인 시작 시점에 이미 표기 변환이 일어난 상태가 된다 (5-7)</t>
  </si>
  <si>
    <t>양식 · 평가항목. 최종 목표는 공고마다 요구하는 서술 형식을 공고 레코드에 두고 쓰는 것이고, 이번 범위에서는 신청자 유형으로 고정 양식을 고른다 (4-4, 6-4)</t>
  </si>
  <si>
    <t>문서층 채점 기준. formSpec과 같은 방식으로 고른다</t>
  </si>
  <si>
    <t>summaryEmbedding</t>
  </si>
  <si>
    <t>float[]</t>
  </si>
  <si>
    <t>수집 시점에 자체 환경에서 구동하는 BGE-M3로 생성해 Chroma에 저장한다 (5-3)</t>
  </si>
  <si>
    <t>bonusInfo</t>
  </si>
  <si>
    <t>가산점 정보. 공고 본문에서 가져온다. 공고를 누르면 적합도의 근거 자료로 제시한다. 가산점이 없는 공고도 있으며 자격 게이트 판정과 별개다 (4-2). LLM으로 채점하는 방식을 검토 중이며, 저장 구조와 사용자 정보 대조 여부는 미확정</t>
  </si>
  <si>
    <t>applicantTypes</t>
  </si>
  <si>
    <t>허용 지원대상 유형</t>
  </si>
  <si>
    <t>businessAgeMaxYears</t>
  </si>
  <si>
    <t>업력 상한. null이면 제한 없음</t>
  </si>
  <si>
    <t>ageMax</t>
  </si>
  <si>
    <t>대표자 연령 상한. 게이트 대조 대상이 아니다 (4-2 ①, 4-7)</t>
  </si>
  <si>
    <t>regionCodes</t>
  </si>
  <si>
    <t>소재 지역 조건(지자체 코드). 희망 지역과 대조해 매칭 순위 반영에 쓴다 (6-3). 게이트 대조 대상이 아니다</t>
  </si>
  <si>
    <t>industryCodes</t>
  </si>
  <si>
    <t>업종 조건. 쓰임은 regionCodes와 같다</t>
  </si>
  <si>
    <t>passed</t>
  </si>
  <si>
    <t>통과 · 불통과. 점수화하지 않는다</t>
  </si>
  <si>
    <t>failedConditions</t>
  </si>
  <si>
    <t>불통과 사유</t>
  </si>
  <si>
    <t>missingInputs</t>
  </si>
  <si>
    <t>비어 있지 않으면 판정하지 않는다. 사전 정보 입력이 필수 항목을 강제하므로 정상 흐름에서는 항상 빈 배열이다</t>
  </si>
  <si>
    <t>undecidable</t>
  </si>
  <si>
    <t>eligibilityParsed=false인 경우 true. 임의 통과 금지</t>
  </si>
  <si>
    <t>planId</t>
  </si>
  <si>
    <t>tasks</t>
  </si>
  <si>
    <t>길이 13 또는 14</t>
  </si>
  <si>
    <t>TaskInstruction</t>
  </si>
  <si>
    <t>Task 지시</t>
  </si>
  <si>
    <t>T-C1 ~ T-P2</t>
  </si>
  <si>
    <t>agent</t>
  </si>
  <si>
    <t>enum('조율','전략','작성','구현','검증-1','검증-2','검수')</t>
  </si>
  <si>
    <t>order</t>
  </si>
  <si>
    <t>실행 순서</t>
  </si>
  <si>
    <t>실행 시점에 생성. 작업 분해의 실체</t>
  </si>
  <si>
    <t>context</t>
  </si>
  <si>
    <t>양식 · 마감일 · 지원규모 · 평가항목 주입</t>
  </si>
  <si>
    <t>SupplementInput</t>
  </si>
  <si>
    <t>보충 입력 (사용 중지)</t>
  </si>
  <si>
    <t>사용하지 않는다. 실행 중 되묻기가 폐지되어 PreInput으로 대체되었다 (4-1)</t>
  </si>
  <si>
    <t>etc</t>
  </si>
  <si>
    <t>object?</t>
  </si>
  <si>
    <t>양식 필수 항목과 1:1</t>
  </si>
  <si>
    <t>T-S1 값 승계. 변경 불가</t>
  </si>
  <si>
    <t>검수 전 추출</t>
  </si>
  <si>
    <t>PlanSection</t>
  </si>
  <si>
    <t>계획서 섹션</t>
  </si>
  <si>
    <t>sectionCode</t>
  </si>
  <si>
    <t>양식 항목 코드 (예: '2-1')</t>
  </si>
  <si>
    <t>sentences</t>
  </si>
  <si>
    <t>Sentence[]</t>
  </si>
  <si>
    <t>검수 · 재수행의 단위. 학습 데이터 분리 규칙으로 나눈 문장 (5-7)</t>
  </si>
  <si>
    <t>문장</t>
  </si>
  <si>
    <t>sentenceId</t>
  </si>
  <si>
    <t>문장 식별자</t>
  </si>
  <si>
    <t>문장 본문. 윤문 결과가 여러 문장이어도 그 자리에 그대로 둔다(제목은 예외)</t>
  </si>
  <si>
    <t>isTitle</t>
  </si>
  <si>
    <t>제목인지. 제목은 하나로 묶어 한 문장으로 다루고, 윤문 결과가 여러 문장이면 검사를 통과하지 못한 것으로 본다 (5-7)</t>
  </si>
  <si>
    <t>paragraphNo</t>
  </si>
  <si>
    <t>섹션 안의 문단 번호. 검수 결과를 계획서에 되돌려 넣을 때 문단 구성을 살린다</t>
  </si>
  <si>
    <t>코드 검증 1번 대상. 미존재 시 코드 점수 0. 원페이지는 onepage.svg</t>
  </si>
  <si>
    <t>enum('html','svg-onepage')</t>
  </si>
  <si>
    <t>검증 체크리스트 분기 기준. 원페이지는 T-B1이 생략되므로 T-B2 산출물을 svg-onepage로 감싸 T-V2에 전달한다</t>
  </si>
  <si>
    <t>sourceText</t>
  </si>
  <si>
    <t>단일 HTML 또는 단일 SVG의 원문. 외부 빌드 도구 금지. kind에 따라 파서가 갈린다</t>
  </si>
  <si>
    <t>assetPaths</t>
  </si>
  <si>
    <t>G-04(규칙 모듈 R-10)가 생성한다. 구현 Agent가 쓰지 않는다. 코드 검증 항목(웹개발 7번 · 원페이지 8번)의 판정 대상이며 프로토타입의 AI 생성 고지를 담는 자리다 (5-4, 6-8). prototype.kind에 따라 안내 문구가 갈린다</t>
  </si>
  <si>
    <t>구현 Agent의 자기 신고값. 대조 판정에 사용하지 않는다. featureMatch와 불일치할 때 원인 추적용 참고값</t>
  </si>
  <si>
    <t>imagePath</t>
  </si>
  <si>
    <t>enum('png','svg')</t>
  </si>
  <si>
    <t>category='원페이지'이면 svg로 강제한다. png는 파싱할 구조가 없어 코드 검증을 규칙으로 판정할 수 없다 (5-4). 배포용 png는 svg에서 파생시킨다</t>
  </si>
  <si>
    <t>altText</t>
  </si>
  <si>
    <t>비어 있으면 코드 검증 2번 미충족</t>
  </si>
  <si>
    <t>total</t>
  </si>
  <si>
    <t>float(0~70)</t>
  </si>
  <si>
    <t>문서층 배점. 기본값 70</t>
  </si>
  <si>
    <t>DocScoreItem</t>
  </si>
  <si>
    <t>itemCode</t>
  </si>
  <si>
    <t>rubric에 정의된 항목만 허용</t>
  </si>
  <si>
    <t>score / maxScore</t>
  </si>
  <si>
    <t>float</t>
  </si>
  <si>
    <t>evidenceLocator</t>
  </si>
  <si>
    <t>null이면 해당 감점 무효 처리 (5-5)</t>
  </si>
  <si>
    <t>comment</t>
  </si>
  <si>
    <t>float(0~15)</t>
  </si>
  <si>
    <t>배분은 kind별로 다르다. html 3/2/2/1/2/2/1/2 · svg-onepage 3/2/2/2/2/2/1/1. 합계 15는 같다</t>
  </si>
  <si>
    <t>CodeCheck[]</t>
  </si>
  <si>
    <t>길이 8 고정. LLM 미호출. kind로 체크리스트가 갈리며 항목 수와 합계 15는 두 경우 모두 같다</t>
  </si>
  <si>
    <t>CodeCheck</t>
  </si>
  <si>
    <t>코드 검증 항목</t>
  </si>
  <si>
    <t>no</t>
  </si>
  <si>
    <t>int(1~8)</t>
  </si>
  <si>
    <t>name</t>
  </si>
  <si>
    <t>kind='html' — 진입 파일 / 대체 텍스트 / label 연결 / html lang / 명도 대비 / 제목 계층 / 실행 안내 / 비밀값
kind='svg-onepage' — 진입 파일 / 대체 텍스트 / 핵심 정보 항목 / 명도 대비 / 정보 계층 / 텍스트 실재성 / 최소 글자 크기 / 열람 안내</t>
  </si>
  <si>
    <t>weight</t>
  </si>
  <si>
    <t>3, 2, 2, 1, 2, 2, 1, 2 (kind='html') / 3, 2, 2, 2, 2, 2, 1, 1 (kind='svg-onepage'). 합계 15는 동일</t>
  </si>
  <si>
    <t>no=1이 false면 total=0</t>
  </si>
  <si>
    <t>detail</t>
  </si>
  <si>
    <t>score</t>
  </si>
  <si>
    <t>missingFeatures</t>
  </si>
  <si>
    <t>계획서에 있으나 프로토타입에 없는 기능</t>
  </si>
  <si>
    <t>extraFeatures</t>
  </si>
  <si>
    <t>프로토타입에만 있는 기능</t>
  </si>
  <si>
    <t>findings</t>
  </si>
  <si>
    <t>사용자 노출 문구</t>
  </si>
  <si>
    <t>judgedBy</t>
  </si>
  <si>
    <t>enum('htmlParse','svgTextParse')</t>
  </si>
  <si>
    <t>대조의 판정 근거. 구현 Agent가 신고한 implementedFeatures가 아니라 산출물을 직접 파싱한 결과로 판정한다. 생산자의 자기 신고를 채점 근거로 쓰면 Agent를 나눈 의미가 사라진다 (4-5)</t>
  </si>
  <si>
    <t>문서층 점수 객체. 점수만이 아니라 항목을 담아 이어하기 때 항목별 미달을 다시 보여준다</t>
  </si>
  <si>
    <t>ArtifactScore?</t>
  </si>
  <si>
    <t>산출물층 점수 객체. phase='document'이면 null</t>
  </si>
  <si>
    <t>float(0~100)</t>
  </si>
  <si>
    <t>기본값 80. 관리자 설정값</t>
  </si>
  <si>
    <t>재작성 대상 Task. 고른 묶음만 다시 만들며 전체를 다시 돌리지 않는다</t>
  </si>
  <si>
    <t>failedTaskIds의 각 Task를 어느 단위로 무엇을 다시 만들지. Task ID만으로는 묶음 단위 재작성을 지시할 수 없다</t>
  </si>
  <si>
    <t>판정 시점의 묶음별 재작성 사용 기록 (세 화면 공유)</t>
  </si>
  <si>
    <t>phase</t>
  </si>
  <si>
    <t>enum('document','overall')</t>
  </si>
  <si>
    <t>채점 시점. document는 계획서 확정 직후 문서층만, overall은 프로토타입 포함 종합. 두 점수는 척도가 다르므로 화면에서 이름을 구분한다 (4-5)</t>
  </si>
  <si>
    <t>displayScore</t>
  </si>
  <si>
    <t>화면 표기용 점수. phase='document'이면 문서층 70점을 100점으로 환산한 값, 'overall'이면 total과 같다</t>
  </si>
  <si>
    <t>carriedOverLayer</t>
  </si>
  <si>
    <t>enum('document','artifact')?</t>
  </si>
  <si>
    <t>이번 채점에서 재채점하지 않고 직전 확정값을 승계한 층. 프로토타입만 다시 만들면 문서층을 승계한다. 계획서를 다시 만들면 HTML에도 반영되어 두 층을 모두 재채점하므로 비어 있다. 최초 채점이어도 비어 있다 (5-6)</t>
  </si>
  <si>
    <t>이번 재작성으로 바뀐 항목의 전후 대비. 계획서 재작성이 HTML에 반영되면 그 변경도 담는다. 이어하기로 복귀했을 때도 유지한다 (4-7)</t>
  </si>
  <si>
    <t>comparisons</t>
  </si>
  <si>
    <t>ReworkComparison[]</t>
  </si>
  <si>
    <t>재작성 전후 비교. 묶음마다 전후 검증 점수를 비교해 높은 쪽을 남기며, 되돌릴 때 기준이 된다. 최초 채점이면 빈 배열 (5-6)</t>
  </si>
  <si>
    <t>notices</t>
  </si>
  <si>
    <t>재수행 횟수를 넘겨 확정 동작을 적용한 내용(T-W1 서술 삭제 등). 판정 화면에 함께 알리고 이어하기 때도 다시 보여준다 (E-W1-REMOVED)</t>
  </si>
  <si>
    <t>판정에 쓴 설정값(층별 배점 · Threshold · 재작성 횟수). 실행을 시작할 때의 값(Run.settingsSnapshot)과 같다. 없으면 과거 점수를 재현할 수 없다 (5-6)</t>
  </si>
  <si>
    <t>rubricVersion</t>
  </si>
  <si>
    <t>채점에 쓴 Rubric.version. 채점 재현용 (5-5)</t>
  </si>
  <si>
    <t>ReworkOrder</t>
  </si>
  <si>
    <t>unit</t>
  </si>
  <si>
    <t>enum('묶음','Task','섹션','차트 1건','표 1건','부분','안내 문서')</t>
  </si>
  <si>
    <t>재작성 단위. 사용자 재작성은 '묶음'을 쓴다. 나머지 값은 시트 [7_재작성·재수행매핑]의 재수행 단위와 대응한다</t>
  </si>
  <si>
    <t>targets</t>
  </si>
  <si>
    <t>다시 만들 대상. 묶음 ID · 섹션 코드 · 차트 ID · 코드 검증 항목 번호</t>
  </si>
  <si>
    <t>reason</t>
  </si>
  <si>
    <t>미달 사유. 재작성 지시문에 반드시 실린다</t>
  </si>
  <si>
    <t>instructionDelta</t>
  </si>
  <si>
    <t>문제가 된 내용(검사 결과 · 미달 사유)으로 채워 기존 지시에 덧붙인다. 같은 지시로 재호출하면 같은 결과가 나오므로 비워둘 수 없다 (5-6)</t>
  </si>
  <si>
    <t>layer</t>
  </si>
  <si>
    <t>enum('document','artifact')</t>
  </si>
  <si>
    <t>이 항목이 속한 층. 종합 평가에서 계획서와 프로토타입 항목을 한 목록으로 제시하므로 구분이 필요하다. 선택된 layer에 따라 재채점 대상이 갈린다 — document면 T-V1(종합 평가에서는 HTML 반영 뒤 T-V2도), artifact면 T-V2 (5-6)</t>
  </si>
  <si>
    <t>ReworkInput</t>
  </si>
  <si>
    <t>mode</t>
  </si>
  <si>
    <t>enum('재작성','재수행')</t>
  </si>
  <si>
    <t>재작성은 사용자 요청, 재수행은 검사 미통과로 시스템이 다시 만드는 것</t>
  </si>
  <si>
    <t>previousResultRef</t>
  </si>
  <si>
    <t>기존 결과의 저장 위치(AttemptRef.resultRef)</t>
  </si>
  <si>
    <t>issues</t>
  </si>
  <si>
    <t>문제가 된 내용. 재수행이면 직전 check.failures, 재작성이면 ReworkOrder.reason과 미달 항목</t>
  </si>
  <si>
    <t>ReworkOrder?</t>
  </si>
  <si>
    <t>재작성일 때 사용자가 고른 묶음의 지시. 재수행이면 null</t>
  </si>
  <si>
    <t>isFinalAttempt</t>
  </si>
  <si>
    <t>재수행 횟수의 마지막 시도면 true. 이때도 검사를 통과하지 못하면 예외 여섯 곳의 Agent는 확정 동작을 적용한 결과를 돌려준다 (시트 [7_재작성·재수행매핑])</t>
  </si>
  <si>
    <t>Task가 스스로 한 검사의 통과 여부. 루프(횟수 세기와 다시 부르기)는 조율이, 검사와 확정 동작은 각 Agent가 맡는다 (5-6)</t>
  </si>
  <si>
    <t>failures</t>
  </si>
  <si>
    <t>실패 내용. 재수행 입력(ReworkInput.issues)과 재작성 목록의 근거가 된다</t>
  </si>
  <si>
    <t>finalAction</t>
  </si>
  <si>
    <t>재수행 횟수를 넘겨 확정 동작을 적용했으면 그 내용. 사용자에게 알릴 것이면 ScoreReport.notices로 옮긴다</t>
  </si>
  <si>
    <t>BundleUsage</t>
  </si>
  <si>
    <t>묶음 식별자. 문서 평가는 계획서 항목 묶음(구성 미확정), 산출물 확인은 '실행 파일' · '인포그래픽'</t>
  </si>
  <si>
    <t>묶음이 속한 층</t>
  </si>
  <si>
    <t>usedCount</t>
  </si>
  <si>
    <t>쓴 재작성 횟수. 첫 실행은 세지 않는다. 문서 평가 · 산출물 확인 · 종합 평가가 같은 값을 쓴다</t>
  </si>
  <si>
    <t>remaining</t>
  </si>
  <si>
    <t>남은 재작성 기회(재작성 횟수 − usedCount). 재작성이 실패하면 돌려준다</t>
  </si>
  <si>
    <t>ReworkDiff</t>
  </si>
  <si>
    <t>다시 만든 Task</t>
  </si>
  <si>
    <t>속한 층. 승계된 층은 이 배열에 담지 않는다</t>
  </si>
  <si>
    <t>label</t>
  </si>
  <si>
    <t>화면에 표시할 항목명</t>
  </si>
  <si>
    <t>beforeSummary</t>
  </si>
  <si>
    <t>재작성 전 상태. 예: 실현가능성 13/20</t>
  </si>
  <si>
    <t>afterSummary</t>
  </si>
  <si>
    <t>재작성 후 상태. 예: 실현가능성 16/20</t>
  </si>
  <si>
    <t>펼쳤을 때 보여줄 전후 대비. 문서층은 섹션 서술, 산출물층은 검증 항목 결과</t>
  </si>
  <si>
    <t>ReworkComparison</t>
  </si>
  <si>
    <t>재작성 전후 비교</t>
  </si>
  <si>
    <t>재작성한 묶음</t>
  </si>
  <si>
    <t>beforeRefs</t>
  </si>
  <si>
    <t>재작성 전 결과의 저장 위치. 계획서 재작성이 HTML에 반영되었으면 HTML 결과도 함께 담아 한꺼번에 되돌린다</t>
  </si>
  <si>
    <t>afterRefs</t>
  </si>
  <si>
    <t>재작성 후 결과의 저장 위치</t>
  </si>
  <si>
    <t>beforeScore</t>
  </si>
  <si>
    <t>재작성 전 검증 점수</t>
  </si>
  <si>
    <t>afterScore</t>
  </si>
  <si>
    <t>재작성 후 검증 점수. 재작성한 층의 점수로 비교하고, 두 층을 모두 다시 채점했으면 총점으로 비교한다</t>
  </si>
  <si>
    <t>kept</t>
  </si>
  <si>
    <t>enum('전','후')</t>
  </si>
  <si>
    <t>남긴 쪽. 점수가 높은 쪽을 남긴다. '전'이면 재작성 결과를 버리고 되돌린다</t>
  </si>
  <si>
    <t>Token</t>
  </si>
  <si>
    <t>enum('수치금액','날짜','고유명사','기능명')</t>
  </si>
  <si>
    <t>value</t>
  </si>
  <si>
    <t>원문 표기 그대로. 표기 변환은 위반</t>
  </si>
  <si>
    <t>count</t>
  </si>
  <si>
    <t>출현 횟수. 다중집합 비교에 사용</t>
  </si>
  <si>
    <t>missingTokens</t>
  </si>
  <si>
    <t>소실된 토큰</t>
  </si>
  <si>
    <t>alteredTokens</t>
  </si>
  <si>
    <t>값은 같으나 표기가 바뀐 토큰. 예: '3천만원' → '30,000,000원'</t>
  </si>
  <si>
    <t>contaminatedTokens</t>
  </si>
  <si>
    <t>값은 남아 있으나 다른 글자가 이어붙어 의미가 바뀐 토큰. 예: '1억원' → '1억원대'. 소실도 표기 변환도 아니므로 재수행 지시 문구가 달라진다</t>
  </si>
  <si>
    <t>styleType</t>
  </si>
  <si>
    <t>enum('개조식','서술형')</t>
  </si>
  <si>
    <t>양식에서 주입</t>
  </si>
  <si>
    <t>endingRule</t>
  </si>
  <si>
    <t>enum('단정형','평서형')</t>
  </si>
  <si>
    <t>maxCharsPerSection</t>
  </si>
  <si>
    <t>bannedExpressions</t>
  </si>
  <si>
    <t>SlotCheckResult</t>
  </si>
  <si>
    <t>슬롯 충족 검사 결과 (사용 중지)</t>
  </si>
  <si>
    <t>requiredSlots</t>
  </si>
  <si>
    <t>사용하지 않는다. 채팅 입력과 되묻기가 폐지되어 폼 필수 항목 검사로 대체되었다 (4-1)</t>
  </si>
  <si>
    <t>filledSlots</t>
  </si>
  <si>
    <t>missingFields</t>
  </si>
  <si>
    <t>complete</t>
  </si>
  <si>
    <t>Message</t>
  </si>
  <si>
    <t>대화 메시지 (사용 중지)</t>
  </si>
  <si>
    <t>enum('user','assistant')</t>
  </si>
  <si>
    <t>사용하지 않는다. 채팅 기반 입력이 폐지되었다 (4-1, 7-5)</t>
  </si>
  <si>
    <t>content</t>
  </si>
  <si>
    <t>AnnouncementCard</t>
  </si>
  <si>
    <t>공고 후보 (카드 · 리스트)</t>
  </si>
  <si>
    <t>Announcement의 PK</t>
  </si>
  <si>
    <t>title / agency</t>
  </si>
  <si>
    <t>카드에 노출</t>
  </si>
  <si>
    <t>applyEnd</t>
  </si>
  <si>
    <t>마감일. today 이후 공고만 후보로 나간다</t>
  </si>
  <si>
    <t>단위 원</t>
  </si>
  <si>
    <t>fitScore</t>
  </si>
  <si>
    <t>적합도. RRF 점수를 이론 최대값(두 검색 모두 1위일 때)으로 나눈 값으로 카드에 표시한다. 정형 필터 통과 집합 안에서만 계산한다 (잠정)</t>
  </si>
  <si>
    <t>rank</t>
  </si>
  <si>
    <t>하이브리드 서치 순위. 1~20</t>
  </si>
  <si>
    <t>displayType</t>
  </si>
  <si>
    <t>enum('card','list')</t>
  </si>
  <si>
    <t>상위 3건은 card, 나머지는 list (4-2)</t>
  </si>
  <si>
    <t>matchReason</t>
  </si>
  <si>
    <t>왜 추천되었는지의 한 줄 설명</t>
  </si>
  <si>
    <t>sourceNotice</t>
  </si>
  <si>
    <t>출처 고지. "본 AI 요약 정보는 K-Startup 공고 내용을 바탕으로 생성되었습니다." 다른 출처는 기관명을 바꿔 표기한다 (6-1)</t>
  </si>
  <si>
    <t>originalUrl</t>
  </si>
  <si>
    <t>원문 공고 링크. 고지 문구만 있고 원문으로 갈 경로가 없으면 사용자가 확인할 방법이 없다 (6-1)</t>
  </si>
  <si>
    <t>SourceConfig</t>
  </si>
  <si>
    <t>수집 소스 설정</t>
  </si>
  <si>
    <t>sourceName</t>
  </si>
  <si>
    <t>enum('K-Startup','기업마당')</t>
  </si>
  <si>
    <t>6-1의 수집 대상</t>
  </si>
  <si>
    <t>endpoint</t>
  </si>
  <si>
    <t>apiKeyRef</t>
  </si>
  <si>
    <t>키 값이 아니라 참조. 하드코딩된 비밀값은 코드 검증 8번 위반</t>
  </si>
  <si>
    <t>fieldCodes</t>
  </si>
  <si>
    <t>창업(06), 기술개발(02)</t>
  </si>
  <si>
    <t>pageSize</t>
  </si>
  <si>
    <t>formVersion</t>
  </si>
  <si>
    <t>양식 개정에 대비한 버전. 6-4의 신청자 유형별 상수와 대응</t>
  </si>
  <si>
    <t>이 양식을 고르는 신청자 유형. 이번 범위에서는 양식 · 평가항목 · rubric을 신청자 유형으로 고른다. 최종 목표는 공고마다 요구하는 서술 형식에 맞추는 것이다 (4-4, 6-4)</t>
  </si>
  <si>
    <t>sectionCodes</t>
  </si>
  <si>
    <t>양식 항목 코드. 예: '1-1','2-1','3-3'</t>
  </si>
  <si>
    <t>sectionTitles</t>
  </si>
  <si>
    <t>sectionCodes와 같은 길이</t>
  </si>
  <si>
    <t>분량 제한이 있는 공고만</t>
  </si>
  <si>
    <t>검수 지시에 실려 전달된다 (4-4)</t>
  </si>
  <si>
    <t>attachmentRequired</t>
  </si>
  <si>
    <t>양식이 첨부파일로만 제공되는 공고 여부 (6-4)</t>
  </si>
  <si>
    <t>EvalItem</t>
  </si>
  <si>
    <t>평가항목 코드. 이번 범위에서는 신청자 유형별 상수로 고정하고 양식과 같은 방식으로 고른다 (6-4)</t>
  </si>
  <si>
    <t>공고문에 공개된 항목명. 예: '문제인식','실현가능성'</t>
  </si>
  <si>
    <t>maxScore</t>
  </si>
  <si>
    <t>합계가 문서층 배점(기본 70)이 되도록 정규화</t>
  </si>
  <si>
    <t>description</t>
  </si>
  <si>
    <t>공고문 원문 서술</t>
  </si>
  <si>
    <t>rubricId</t>
  </si>
  <si>
    <t>상수로 고정(이번 범위에서는 신청자 유형별). 실행 중 변경 불가</t>
  </si>
  <si>
    <t>version</t>
  </si>
  <si>
    <t>채점 재현을 위해 scoreReport에 함께 기록</t>
  </si>
  <si>
    <t>RubricItem[]</t>
  </si>
  <si>
    <t>여기에 없는 기준으로 감점하면 무효 (5-5)</t>
  </si>
  <si>
    <t>RubricItem</t>
  </si>
  <si>
    <t>채점 기준 항목</t>
  </si>
  <si>
    <t>EvalItem과 1:1</t>
  </si>
  <si>
    <t>criteria</t>
  </si>
  <si>
    <t>충족 판정 기준</t>
  </si>
  <si>
    <t>scoreBands</t>
  </si>
  <si>
    <t>object[]</t>
  </si>
  <si>
    <t>구간별 점수. {min, max, label}</t>
  </si>
  <si>
    <t>evidenceRequired</t>
  </si>
  <si>
    <t>true면 evidenceLocator 없는 감점을 무효 처리</t>
  </si>
  <si>
    <t>problemStatement</t>
  </si>
  <si>
    <t>이후 전 공정의 기준 기능 목록. 확정 후 변경 불가</t>
  </si>
  <si>
    <t>differentiator</t>
  </si>
  <si>
    <t>useCases</t>
  </si>
  <si>
    <t>marketDefinition</t>
  </si>
  <si>
    <t>marketSize</t>
  </si>
  <si>
    <t>MarketSizeItem[]</t>
  </si>
  <si>
    <t>각 항목에 sourceName이 없으면 T-S2 실패</t>
  </si>
  <si>
    <t>competitors</t>
  </si>
  <si>
    <t>positioning</t>
  </si>
  <si>
    <t>MarketSizeItem</t>
  </si>
  <si>
    <t>시장 규모 항목</t>
  </si>
  <si>
    <t>보호 토큰(수치 · 금액) 후보로 등록된다</t>
  </si>
  <si>
    <t>'억원' 등. 표기 변환은 검수에서 위반 처리</t>
  </si>
  <si>
    <t>비어 있으면 해당 항목을 제거하고 재수행</t>
  </si>
  <si>
    <t>sourceUrl</t>
  </si>
  <si>
    <t>basis</t>
  </si>
  <si>
    <t>산출 근거</t>
  </si>
  <si>
    <t>ChartSpec</t>
  </si>
  <si>
    <t>그래프 사양</t>
  </si>
  <si>
    <t>chartId</t>
  </si>
  <si>
    <t>enum('bar','line','pie')</t>
  </si>
  <si>
    <t>axisLabels</t>
  </si>
  <si>
    <t>string[2]</t>
  </si>
  <si>
    <t>비어 있으면 미충족</t>
  </si>
  <si>
    <t>series</t>
  </si>
  <si>
    <t>원본 수치와 재계산 대조 대상</t>
  </si>
  <si>
    <t>sourceRef</t>
  </si>
  <si>
    <t>근거가 된 PlanSection 또는 TableSpec</t>
  </si>
  <si>
    <t>TableSpec</t>
  </si>
  <si>
    <t>표 사양</t>
  </si>
  <si>
    <t>tableId</t>
  </si>
  <si>
    <t>headers</t>
  </si>
  <si>
    <t>rows</t>
  </si>
  <si>
    <t>string[][]</t>
  </si>
  <si>
    <t>각 row 길이가 headers 길이와 일치해야 한다</t>
  </si>
  <si>
    <t>float(0~30)</t>
  </si>
  <si>
    <t>산출물층 배점. 기본값 30</t>
  </si>
  <si>
    <t>0~15. 규칙 판정</t>
  </si>
  <si>
    <t>0~15. 대조 판정</t>
  </si>
  <si>
    <t>FormatFinding</t>
  </si>
  <si>
    <t>violationType</t>
  </si>
  <si>
    <t>enum('서술형','종결형','금지표현','분량초과')</t>
  </si>
  <si>
    <t>T-P2 지시문에 실린다</t>
  </si>
  <si>
    <t>totalSentences</t>
  </si>
  <si>
    <t>adoptedCount</t>
  </si>
  <si>
    <t>retainedByCheckIds</t>
  </si>
  <si>
    <t>보호 토큰 검사를 끝까지 통과하지 못해 원문을 유지한 문장. 6-6 학습 데이터 회수 대상</t>
  </si>
  <si>
    <t>retainedByCallFailureIds</t>
  </si>
  <si>
    <t>호출 실패로 원문을 유지한 문장. 6-6 회수 대상이 아니다. 실패 비율이 높아 재개했다가 재개 상한을 넘겨 원문을 유지한 채 완료한 문장도 여기에 남는다</t>
  </si>
  <si>
    <t>earlyStoppedSentenceIds</t>
  </si>
  <si>
    <t>동일 출력 반복으로 재수행 횟수 전에 중단된 문장. 온도 고정 탓에 재수행이 무의미해진 사례이므로 6-6 회수 대상과 구분해 집계한다</t>
  </si>
  <si>
    <t>tokenPreservationRate</t>
  </si>
  <si>
    <t>재수행 없이 1차 검수에서 통과한 문장 비율. 모델 버전 비교 지표 (5-7)</t>
  </si>
  <si>
    <t>modelVersion</t>
  </si>
  <si>
    <t>검수 모델 버전. 롤백 대비</t>
  </si>
  <si>
    <t>planDocPath</t>
  </si>
  <si>
    <t>prototypePath</t>
  </si>
  <si>
    <t>infographicPath</t>
  </si>
  <si>
    <t>검증 결과. 세 겹 묶음의 세 번째</t>
  </si>
  <si>
    <t>disclaimer</t>
  </si>
  <si>
    <t>산출물 첫 장에 표기하는 고정 문구. "본 문서는 S-Brain이 생성한 초안입니다. 제출 전 작성자 본인의 확인과 수정이 필요합니다." (6-8)</t>
  </si>
  <si>
    <t>prototypeNotice</t>
  </si>
  <si>
    <t>프로토타입 실행 안내 문서에 표기하는 AI 생성 고지 (6-8)</t>
  </si>
  <si>
    <t>scoreNotice</t>
  </si>
  <si>
    <t>검증 결과에 표기하는 문구. 서비스 내부 기준(rubric 상수)에 따른 점수이며 실제 심사 점수가 아님을 명시한다. 80점 초과가 선정을 보장하지 않고 미달이 탈락을 뜻하지 않는다 (6-8)</t>
  </si>
  <si>
    <t>submissionNotice</t>
  </si>
  <si>
    <t>결과물 내려받기 화면 안내. 공고에 따라 AI 작성 문서의 제출을 제한하거나 명시를 요구할 수 있으므로 해당 공고의 제출 요건을 확인하도록 알린다 (6-8)</t>
  </si>
  <si>
    <t>ID</t>
  </si>
  <si>
    <t>모듈명</t>
  </si>
  <si>
    <t>호출 주체</t>
  </si>
  <si>
    <t>연결 Task</t>
  </si>
  <si>
    <t>R-1</t>
  </si>
  <si>
    <t>공고 수집 배치 · 지원대상 정형화 파싱</t>
  </si>
  <si>
    <t>스케줄러 (주기 실행)</t>
  </si>
  <si>
    <t>배치 (Task 외)</t>
  </si>
  <si>
    <t>sourceConfig: SourceConfig
lastRunAt: datetime
fieldCodes: string[]  // 창업(06), 기술개발(02)</t>
  </si>
  <si>
    <t>announcements: Announcement[]
collectionStatus: enum('정상','지연','실패')
parsedRate: float(0~1)
lastRunAt: datetime</t>
  </si>
  <si>
    <t>신규 · 변경 공고를 upsert하고, 지원대상 서술에서 applicantTypes · businessAgeMaxYears · ageMax · 소재 지역 · 업종을 정형 필드로 추출한다. 요약 임베딩을 수집 시점에 자체 환경에서 구동하는 BGE-M3로 생성해 Chroma에 저장하고, BM25 단어 검색 색인을 함께 갱신한다 (5-3). 가산점 정보는 공고 본문에서 가져온다. 채점에 LLM을 쓰는 방식이 검토 중이므로, 확정되면 이 규칙 모듈이 아닌 별도 LLM 처리로 정의해야 한다.</t>
  </si>
  <si>
    <t>① 소스 응답 실패 → 재시도 후 collectionStatus='실패'로 기록하고 화면에 수집 상태를 표시한다. 조용한 실패를 금지한다.
② 정형화 실패 공고 → eligibilityParsed=false로 표시해 게이트에서 판정 불가로 취급한다. 추정으로 채우지 않는다.</t>
  </si>
  <si>
    <t>5-1①, 5-3, 6-1~6-3, 4-2</t>
  </si>
  <si>
    <t>R-2</t>
  </si>
  <si>
    <t>자격요건 게이트</t>
  </si>
  <si>
    <t>조율 (T-C2 이후, T-C3 이전)</t>
  </si>
  <si>
    <t>companyInfo: CompanyInfo  // applicantType 필수. 개인사업자 · 법인은 foundedAt 필수
announcement.eligibility: EligibilityRule</t>
  </si>
  <si>
    <t>gateResult: GateResult</t>
  </si>
  <si>
    <t>구조화 필드 비교만으로 통과 · 불통과를 판정한다. LLM을 호출하지 않아 동일 입력에 동일 결과가 나온다. 통과 시에만 T-C3 작업 분해로 진행한다.
대조 항목은 지원대상 유형 · 업력 · 접수기간 세 가지로 유지한다 (4-7). 생년월일 · 희망 지역 · 주 업종 · 첫 창업 여부는 게이트에서 대조하지 않는다 (4-2 ①, 4-7).</t>
  </si>
  <si>
    <t>① missingInputs가 비어 있지 않으면 판정하지 않고 사전 정보 입력으로 돌려보낸다. 실행 중 되묻기는 두지 않는다 (4-1).
② eligibilityParsed=false → undecidable=true로 표시하고 공고문 직접 확인을 안내한다. 임의 통과를 허용하지 않는다.
③ 불통과 → 실행을 차단하고 다른 후보 공고 재선택을 유도한다. 감점으로 환산하지 않는다.</t>
  </si>
  <si>
    <t>R-3</t>
  </si>
  <si>
    <t>정형 필터 우선 적용 + 하이브리드 서치 순위 (임베딩 + BM25, RRF 통합)</t>
  </si>
  <si>
    <t>조율 (T-C2 내부)</t>
  </si>
  <si>
    <t>filter: {status, applyEnd &gt;= today, applicantTypes, businessAgeMax}
queryText: string  // BM25 단어 검색용
queryEmbedding: float[]  // BGE-M3 (자체 구동)
preference: {region, industryCode}  // 순위 반영용. 필터에 쓰지 않는다
topK: int  // 기본 10
offset: int  // 0 | 10. 누적 최대 20</t>
  </si>
  <si>
    <t>ranked: {announcementId: string, embeddingRank: int?, bm25Rank: int?, rrfScore: float, fitScore: float(0~1)}[]
filteredCount: int
fallbackMode: enum('BM25단독','임베딩단독','마감임박순')?</t>
  </si>
  <si>
    <t>정형 필터를 먼저 적용하고 통과 집합 안에서만 순위를 매긴다. 임베딩 검색(BGE-M3 · Chroma)과 BM25 단어 검색을 각각 수행하고 두 순위를 RRF(Reciprocal Rank Fusion)로 합친다. rrfScore = Σ 1 / (k + 검색별 순위). 실행 로그에 필터 → 검색 → 순위 통합 순서가 남는다 (5-3).
fitScore는 rrfScore를 이론 최대값(두 검색 모두 1위일 때)으로 나눈 값이며 카드의 적합도로 표시한다 (잠정).
희망 지역 · 주 업종은 필터에 넣지 않고 순위에만 반영한다. 반영 방식은 구현 시 확정한다 (5-3).</t>
  </si>
  <si>
    <t>① 순서를 뒤집어 검색 순위 상위 N건을 먼저 자르면 신청 가능한 공고가 한 건도 남지 않을 수 있으므로 결함으로 간주한다.
② 필터 통과 0건 → 빈 배열 반환. 검색 순위만으로 채우지 않는다.
③ 임베딩 검색 오류 → BM25 단독 순위로 제시한다 (5-3). BM25 검색 오류 → 임베딩 단독 순위, 둘 다 실패 → 마감 임박순으로 폴백한다(잠정). 필터는 어떤 경우에도 생략하지 않는다.</t>
  </si>
  <si>
    <t>5-3</t>
  </si>
  <si>
    <t>R-4</t>
  </si>
  <si>
    <t>산출물층 코드 기준 자동 검증 8항목 (kind별 분기)</t>
  </si>
  <si>
    <t>검증-2 (T-V2 내부)</t>
  </si>
  <si>
    <t>prototype: Prototype  // kind로 체크리스트 분기
weights: float[8]  // html 3,2,2,1,2,2,1,2 · svg-onepage 3,2,2,2,2,2,1,1</t>
  </si>
  <si>
    <t>codeCheck: CodeCheckResult  // total 0~15</t>
  </si>
  <si>
    <t>전 항목을 파싱과 계산만으로 판정한다. LLM을 호출하지 않으므로 동일 입력에 동일 점수가 재현된다. 접근성 항목의 근거는 KWCAG 2.2다.
kind='html' — 진입 파일 / 대체 텍스트 / label 연결 / html lang / 명도 대비 / 제목 계층 / 실행 안내 / 비밀값.
kind='svg-onepage' — 진입 파일 / 대체 텍스트 / 핵심 정보 항목 / 명도 대비 / 정보 계층 / 텍스트 실재성 / 최소 글자 크기 / 열람 안내. 항목 수 8과 합계 15를 html과 맞춰 두 카테고리의 점수를 같은 척도로 비교한다.</t>
  </si>
  <si>
    <t>① 1번(진입 파일 존재) 미충족 → 나머지 항목 검사가 성립하지 않으므로 total=0으로 확정한다.
② 개별 항목의 파싱 실패 → 해당 항목만 미충족 처리하고 전체 검사를 중단하지 않는다.
③ svg-onepage에서 텍스트가 래스터 &lt;image&gt;에 묻혀 있으면 6번 미충족으로 처리한다. 3·4·5·7번 검사를 한꺼번에 무력화하는 우회로이기 때문이다.</t>
  </si>
  <si>
    <t>5-4</t>
  </si>
  <si>
    <t>R-5</t>
  </si>
  <si>
    <t>보호 토큰 불변식 검사 · 문장 단위 재수행 제어</t>
  </si>
  <si>
    <t>검수 (T-P2 내부)</t>
  </si>
  <si>
    <t>original: Sentence
revised: Sentence
protectedTokens: Token[]
redoLimit: int  // 검수 재수행 횟수</t>
  </si>
  <si>
    <t>tokenCheck: TokenCheckResult
action: enum('채택','재수행','원문유지')
redoHint: string[]  // 위반 유형별로 문구가 다르다. 누적한다</t>
  </si>
  <si>
    <t>값과 출현 횟수를 함께 보는 다중집합 비교로 판정한다. 문장 전체 비교는 쓰지 않는다(윤문 목적상 거의 전부가 변경으로 잡히기 때문). 조사 · 어미 변화는 통과, 표기 변환은 위반이다. 비교 기준은 G-03의 보호 토큰 목록이다.
검사 단위는 문장이다. 한 문장이 여러 문장으로 나오면 그 자리에 그대로 두고 그 안의 토큰만 비교한다. 제목이 여러 문장으로 나오면 위반으로 본다 (5-7).
토큰이 서로 겹칠 때는 긴 토큰부터 소비하고 마스킹한다. '2026년 10월 16일'과 '2026년'이 모두 토큰일 때 짧은 쪽이 중복 계상되면 날짜가 통째로 사라져도 개수가 맞아 통과한다.
위반은 세 유형으로 나눈다. missing(소실) · altered(표기 변환) · contaminated(경계 오염). 유형마다 재수행 지시 문구가 다르다.</t>
  </si>
  <si>
    <t>① 위반 → 소실 · 변조 토큰을 redoHint에 명시해 같은 문장을 재수행한다. 동일 입력 반복은 같은 출력을 내므로 금지한다. redoHint는 교체하지 않고 누적한다.
② 지시를 바꿨는데도 출력이 직전과 동일하면(해시 일치) 남은 시도가 확정적으로 헛돌므로 재수행 횟수 전에 중단하고 earlyStoppedSentenceIds에 기록한다. 재수행 횟수가 작아도 이 조기 중단은 유지한다.
③ 검수 재수행 횟수를 넘김 → 해당 문장만 원문을 유지하고 관리자 로그에 기록한다. 회수된 문장은 라벨링 후 학습 데이터로 편입한다.
④ 검사 미통과 문장은 사용자에게 전달되지 않는다.</t>
  </si>
  <si>
    <t>4-5, 5-7, 6-6</t>
  </si>
  <si>
    <t>R-6</t>
  </si>
  <si>
    <t>Threshold 판정과 재작성 제어 (phase별 2회 호출)</t>
  </si>
  <si>
    <t>조율 (T-V1 이후 G-02a, T-V2 이후 G-02b)</t>
  </si>
  <si>
    <t>G-02a, G-02b</t>
  </si>
  <si>
    <t>phase: enum('document','overall')
docScore: DocScore
artifactScore: ArtifactScore  // phase='overall'에서만
threshold: float = 80
reworkUsage: BundleUsage[]  // 세 화면 공유
selectedOrders: ReworkOrder[]?
checks: CheckResult[]?
userAction: enum('재작성','진행')?</t>
  </si>
  <si>
    <t>scoreReport: ScoreReport
failedTaskIds: string[]
reworkOrders: ReworkOrder[]
nextAction: enum('진행가능','재작성권유','상한도달')</t>
  </si>
  <si>
    <t>phase='document'이면 문서층 70점을 100점으로 환산해 displayScore에 담고, 'overall'이면 총점 100점을 그대로 쓴다 (4-5).
합격선을 판정하는 시점은 이 두 곳뿐이다. 산출물 확인 화면은 T-V2의 채점 결과를 점검 형태로 보여줄 뿐 판정하지 않는다. 다만 산출물 확인(8)에서 요청한 재작성도 이 모듈의 재작성 규칙을 따른다.
threshold 이상이면 '진행가능', 미만이면 '재작성권유'다. 재작성을 자동 실행하지 않는다. 사용자가 묶음을 골라 요청했을 때만 실행한다 (5-6).
재작성 규칙 — 묶음마다 재작성 횟수까지이고 세 화면(6 · 8 · 9)이 reworkUsage를 함께 쓴다. 첫 실행은 세지 않는다. 입력은 기존 결과 + 문제가 된 내용 + 만들 때 필요한 입력이다(ReworkInput). 묶음은 문서 평가에서 계획서 항목 묶음(구성 미확정), 산출물 확인에서 실행 파일 · 인포그래픽 각각이며, 종합 평가는 둘을 합친 목록이다.
phase='overall'의 미달 목록은 두 층을 합쳐서 낸다. ReworkOrder.layer로 구분하고, 선택된 layer에 따라 재채점 범위가 갈린다.
  · document를 선택 → 작성 · T-V1을 다시 실행하고, 바뀐 계획서를 HTML(T-B1)에 반영한 뒤 G-04 · T-V2도 다시 실행해 두 층을 모두 재채점한다. 이 반영에는 재작성 횟수를 쓰지 않는다
  · artifact만 선택 → 고른 묶음만 다시 만들고 G-04 · T-V2를 다시 실행한다. docScore 승계
승계한 층은 carriedOverLayer에 기록한다.
의존과 전파 — 문서 평가에서 고른 묶음은 서로 영향을 주지 않으므로 계획서 안에서는 전파하지 않는다. 실행 파일과 인포그래픽도 서로 영향을 주지 않으며, 둘 중 하나를 다시 만들면 G-04와 T-V2만 따라서 다시 돈다. 전략 결과(T-S1 · T-S2)는 재작성 대상이 아니다.
Task ID만으로는 묶음 단위 재작성을 지시할 수 없으므로 reworkOrders에 단위 · 대상 · 미달 사유 · 덧붙일 지시(문제가 된 내용)를 함께 담는다.</t>
  </si>
  <si>
    <t>① 재작성이 끝나면 전후 검증 점수를 비교해 높은 쪽을 남긴다(ScoreReport.comparisons). 계획서 재작성이 HTML에 반영되었다가 되돌릴 때는 HTML도 함께 되돌린다. 기회를 다 쓴 묶음은 다시 고를 수 없게 표시하고(E-G2-LIMIT), 미달 항목의 묶음이 모두 기회를 다 쓰면 nextAction='상한도달'로 진행만 허용한다.
② docScore + artifactLayerMax &lt; threshold이면 계획서 항목을 함께 선택해야 기준에 이른다고 안내한다. 버튼을 막지 않는다. 계획서 묶음의 기회가 남지 않았으면 문구를 따로 쓴다 (E-G2-UNREACHABLE).
③ 재작성이 실패하면(재개 상한 초과 또는 영구 오류) 요청 전 결과로 되돌리고 그 묶음의 기회를 돌려주며 실패 알림을 보낸다. 실행 전체는 실패로 보지 않는다 (E-RUN-ROLLBACK, R-11).
④ 매핑된 재작성 대상이 실행 Task 목록에 없으면 재작성 버튼을 노출하지 않고 진행만 허용한다.
⑤ '재작성권유' 상태에서도 사용자는 그대로 진행할 수 있다. 서비스는 점수를 근거로 권유하되 사용자를 대신해 판단하지 않는다 (3-6, 4-7 E3 · E4).
⑥ 실행을 시작할 때의 설정값으로 판정하고, 그 값을 scoreReport에 함께 기록한다.
⑦ T-W1이 확정 동작으로 서술을 지웠으면(checks의 finalAction) scoreReport.notices에 담아 판정 화면에 알린다 (E-W1-REMOVED).</t>
  </si>
  <si>
    <t>R-7</t>
  </si>
  <si>
    <t>검수 (G-02b에서 검수 진입이 확정된 직후)</t>
  </si>
  <si>
    <t>planDoc: PlanDoc
announcement: Announcement
companyInfo: CompanyInfo
featureList: string[]
referenceSummary: ReferenceSummary?  // citedNumbers
numericTokens: Token[]  // T-S2 수치 후보</t>
  </si>
  <si>
    <t>검수 이전에 보호 토큰을 확정한다. 새로 만드는 자산이 아니라 이미 파이프라인에 있는 값을 모으는 작업이다. 수치 · 금액은 본문 패턴 추출과 announcement.supportAmountText에서, 날짜는 본문 패턴과 applyEnd에서, 고유명사는 title · agency · representativeName에서, 기능명은 featureList를 그대로 가져온다. 첨부에서 인용한 수치 · 고유명사(referenceSummary.citedNumbers)와 T-S2가 등록한 수치 후보(numericTokens)도 넣는다 (4-6). 각 토큰의 출현 횟수를 함께 세어 다중집합 비교의 기준으로 삼는다.</t>
  </si>
  <si>
    <t>① 토큰이 서로 포함 관계이면 긴 쪽만 등록하고 짧은 쪽은 버린다. 둘 다 등록하면 R-5의 다중집합 비교에서 중복 계상된다.
② 수치와 조건이 결합된 표현('5개 이상', '만 39세 이하')은 쪼개지 않고 통째로 한 토큰으로 등록한다.
③ 추출 결과가 0건이면 검수를 건너뛰지 않고 형식 검수(T-P1)만 수행한 뒤 윤문을 생략한다. 보호할 값이 없다는 판정과 추출 실패를 구분할 수 없기 때문이다.</t>
  </si>
  <si>
    <t>R-8</t>
  </si>
  <si>
    <t>첨부 문서 텍스트 추출</t>
  </si>
  <si>
    <t>조율 (T-C1 이전)</t>
  </si>
  <si>
    <t>attachments: File[]</t>
  </si>
  <si>
    <t>referenceDocs: ReferenceDoc[]</t>
  </si>
  <si>
    <t>업로드된 .docx · .hwp · .hwpx에서 본문 텍스트를 추출한다. LLM을 호출하지 않는 파싱 작업이다. 표와 이미지 캡션은 본문과 구분해 담고, 추출 실패 문서는 extractStatus='실패'로 표시해 참조 대상에서 제외한다. 형식별 추출 품질은 사전 검증을 마쳤다 (4-6).</t>
  </si>
  <si>
    <t>① 추출 실패 → 해당 문서만 제외하고 파이프라인은 첨부 없이 진행한다. 첨부는 선택 입력이므로 중단 사유가 아니다 (E-C1-DOC).
② 추출 텍스트를 후속 Task 지시에 그대로 싣지 않는다. T-C1이 슬롯으로 나눈 뒤 필요한 조각만 전달한다.
③ 중간발표 시점에는 화면만 노출하고 실제 추출은 최종발표까지의 구현 범위다 (7-4).</t>
  </si>
  <si>
    <t>4-2, 4-6</t>
  </si>
  <si>
    <t>R-9</t>
  </si>
  <si>
    <t>실행 상태 관리와 이어하기</t>
  </si>
  <si>
    <t>조율 (전 구간)</t>
  </si>
  <si>
    <t>T-C1 ~ T-C4</t>
  </si>
  <si>
    <t>accountId: string
run: Run
event: enum('시작','단계완료','판단대기','사용자선택','재작성시작','재작성완료','재개대기','재개','실패','중단')</t>
  </si>
  <si>
    <t>runState: RunState
resumeStep: int
blocked: bool  // 동시 실행 제한 위반 또는 프로필 없음
notification: Notification?  // 작업 알림(실패 포함)
adminAlert: bool  // 영구 오류로 실패했을 때 관리자 알림 대상</t>
  </si>
  <si>
    <t>실행 건의 상태를 갱신하고 이어하기 복귀 지점을 산출한다. LLM을 호출하지 않는다.
상태 모델 — 서비스 상태는 단계(step)와 진행 상태(progress) 두 축으로 관리하고, 화면 상태(screenStatus)는 progress에서 계산한다. 함께 기록할 값은 Run에 둔다 (5-8).
복귀 지점은 4-7 기본 흐름 11단계 기준이며, 판단 대기 상태에서 멈춘 경우에는 그 판정 화면으로 돌아온다. 재작성 중이면 요청한 화면, 표현 검수 중이면 10으로 돌아온다. 돌아왔을 때 점수와 미달 항목을 처음 본 것과 같은 형태로 다시 보여준다. 며칠 뒤 복귀한 사용자는 무엇을 고민하다 멈췄는지 기억하지 못한다 (4-7).
동시 실행은 계정당 1건으로 제한한다. 제한에 세는 것은 실행 · 재개대기 · 사용자대기뿐이며, 진행 중인 Run이 있으면 새 Run을 생성하지 않고 blocked=true를 반환한다. 여러 건을 동시에 두면 이어하기가 어느 건을 가리키는지 모호해지고, 판단 대기 상태가 여러 개 쌓여 관리자 진행 현황에서 정체 건과 구분하기 어려워진다 (4-7).
완료 · 실패 · 중단 상태는 제한 대상이 아니므로 계정에 여러 건이 보관될 수 있다. 실행을 시작할 때 설정값을 Run.settingsSnapshot에 고정해 끝까지 쓴다 (5-6).
진행률은 Task 목록이 아니라 프로그레스 바와 백분율로 화면에 전달한다. 내부적으로는 Task 단위 상태를 그대로 관리하고 화면에만 환산한다. 재작성으로 진행률이 되돌아갈 때 아무 설명이 없으면 멈춘 것으로 보이므로, 현재 수행 중인 작업을 한 줄로 함께 내보낸다. 재개를 기다리는 동안에도 '진행 중'으로 보인다 (4-2).
검증-1 · 검증-2 · 검수가 끝나면 화면 안 작업 알림(Notification)을 만든다. T-V1과 G-02a가 끝나면 문서 평가 확인(6), T-V2가 끝나면 산출물 확인(8), 검수(T-P1, 윤문 대상이 있으면 T-P2)가 끝나면 표현 검수(10)로 바로 들어갈 수 있게 한다. 재작성으로 검증을 다시 실행한 경우에도 같다. 실행 실패와 재작성 실패는 kind='실패'로 알리며, 실행 실패는 들어갈 화면이 없으므로 이어하기 목록으로 연결한다. 메일 알림은 향후 도입이다 (4-2 ⑧).
서비스 상태, 오류 종류, 재시도 · 재개 기록을 관리자 화면에 넘긴다.</t>
  </si>
  <si>
    <t>① 진행 중 Run이 있는 상태에서 새 실행 시도 → 현재 단계를 보여주고 이어하기와 중단 후 새로 시작 중 선택하게 한다. 그냥 막으면 사용자는 왜 안 되는지 모른다. '중단 후 새로 시작'을 고르면 기존 실행의 결과를 다시 볼 수 없다는 사실을 확인받는다 (E-RUN-CONCURRENT, 4-7 E8).
② 사전 정보 입력 단계에서 이탈 → 이어하기 대상이 아니다. 입력값이 확정되기 전이라 복원할 상태가 없다.
③ 계정 삭제 요청 시 진행 중인 Run이 있으면 중단한 뒤 삭제한다 (6-7).
④ 마이페이지 프로필이 하나도 없으면 새 Run을 만들지 않고 blocked=true로 프로필 작성을 안내한다. 최초 로그인과 프로필을 모두 지운 경우가 해당한다 (E-AUTH-PROFILE, 4-7 E10, 6-7).
⑤ 재개 상한 초과 또는 영구 오류(R-11) → progress='실패'로 실행을 끝낸다. 사용자에게는 일시적인 문제로 완료하지 못했다고 알리고, 영구 오류면 관리자에게 알린다(adminAlert). 실패 · 중단으로 끝난 실행에는 들어갈 수 없고 결과도 볼 수 없으며 DB 이력은 남긴다. 이어하기 목록에서는 색 등으로 구분한다 (E-RUN-FAIL, 4-7 E11).
⑥ 재작성 중 실패는 실행 실패가 아니다. 요청 전 결과로 되돌리고 그 묶음의 기회를 돌려준다 (E-RUN-ROLLBACK, R-6).
⑦ 이어하기로 돌아왔을 때 선택한 공고가 마감되었으면 그 사실만 알리고, 계속 진행할지는 사용자가 정한다 (E-RUN-CLOSED, 4-7 E13).</t>
  </si>
  <si>
    <t>4-2 ⑧, 4-7, 5-6, 5-8, 6-7</t>
  </si>
  <si>
    <t>R-10</t>
  </si>
  <si>
    <t>조율 (T-B2 이후)</t>
  </si>
  <si>
    <t>실행·열람 방법, 파일 목록, AI 생성 고지를 템플릿에 채워 생성한다. LLM을 호출하지 않는다.
prototype.kind로 문구가 갈린다. html이면 브라우저로 열기, svg-onepage이면 브라우저 열기와 인쇄 방법을 담는다.
슬롯 값은 이미 파이프라인에 있다. 파일 경로는 prototype·infographic에서, 아이템명과 공고명은 itemSpec·announcement에서 가져오고 고지 문구는 6-8의 고정값이다. 새로 만드는 자산이 없어 R-7 보호 토큰 추출과 성격이 같다.
구현 Task로 두지 않는 이유는 이 문서가 코드 검증 항목의 판정 대상이기 때문이다. LLM이 매번 다르게 쓰면 규칙 판정이 비결정적인 대상을 검사하게 된다 (5-4).</t>
  </si>
  <si>
    <t>① 슬롯 값이 비면 섹션을 생략하지 않고 기본 문구로 채운다. 섹션이 사라지면 검증 항목이 미충족으로 잡힌다.
② 생성 실패 시 해당 검증 항목만 미충족 처리하고 파이프라인은 계속 진행한다.
③ 프로토타입이 재작성되면 파일 목록이 달라질 수 있으므로 함께 재생성한다.</t>
  </si>
  <si>
    <t>R-11</t>
  </si>
  <si>
    <t>호출 실패 처리 (재시도 · 재개)</t>
  </si>
  <si>
    <t>조율 (모든 호출)</t>
  </si>
  <si>
    <t>LLM · 검색을 호출하는 Task 전체</t>
  </si>
  <si>
    <t>taskId: string
error: enum('호출실패','응답지연','형식오류')
errorKind: enum('일시','입력','운영')
run: Run  // retryCount · resumeCount · reworkScreen · settingsSnapshot</t>
  </si>
  <si>
    <t>action: enum('재시도','재개대기','대체경로','원문유지','다시시도안내','실행실패','재작성실패')
nextResumeAt: datetime?
run: Run  // 갱신된 재시도 · 재개 기록</t>
  </si>
  <si>
    <t>재시도 — 호출 실패, 응답 지연(제한 시간 초과), 응답 형식 오류(깨진 JSON 등)면 같은 호출을 다시 보낸다. 재시도 횟수 · 재시도 간격 · 제한 시간은 1_개요의 설정값을 따른다.
재개 — 재시도를 다 써도 안 되면 progress='재개대기'로 두고(화면은 '진행 중') 시간을 두고 실패한 지점(currentTask)부터 다시 한다. 일시 오류(시간 초과 · 요청 과다 · 서버 오류 등)일 때만 재개한다. 간격은 재개 첫 간격에서 시작해 재개할 때마다 재개 간격 배수만큼 늘리고, 재개 횟수와 재개 총 대기 상한을 넘기지 않는다. 재개할 때마다 retryCount를 다시 채운다.
예외 — T-C1은 아직 실행 건이 없으므로 재개하지 않고 진입 전 상태로 되돌려 다시 시도하도록 안내한다(E-C1-TIMEOUT). 대체 경로가 있는 T-C2(검색 폴백)와 T-V2(문자열 대조)는 재시도를 다 쓰면 대체 경로로 계속한다. 표현 검수(T-P1 · T-P2)는 호출이 실패한 문장의 원문을 유지하고 넘어가며, 실패 비율이 검수 실패 비율 기준을 넘을 때만 재개한다. 재개 상한을 넘기면 원문을 유지한 채 완료한다.
모든 Task가 같은 규칙을 쓰므로 별도 모듈로 둔다.</t>
  </si>
  <si>
    <t>① 재개 상한 초과 또는 영구 오류(입력 · 운영) → 실행을 실패로 끝낸다(R-9, progress='실패'). 영구 오류도 사용자에게는 일시적인 문제로 안내하고 관리자에게 알린다 (E-RUN-FAIL).
② 재작성 중(Run.reworkScreen이 있음)이면 실행 실패 대신 재작성 실패로 처리한다. 요청 전 결과로 되돌리고 그 묶음의 기회를 돌려주며 실패 알림을 보낸다 (E-RUN-ROLLBACK, R-6).
③ 입력 때문에 생기는 영구 오류(첨부가 입력 한도를 넘는 경우 등)는 입력 단계에서 미리 검사해 막는다. 실행 중에 나면 사용자에게는 일시적 문제로만 안내되어, 같은 입력으로 새로 시작해도 다시 실패하기 때문이다 (4-6).</t>
  </si>
  <si>
    <t>4-6, 5-8</t>
  </si>
  <si>
    <t>코드</t>
  </si>
  <si>
    <t>발생 지점</t>
  </si>
  <si>
    <t>사유</t>
  </si>
  <si>
    <t>시스템 처리</t>
  </si>
  <si>
    <t>E-C1-INTENT</t>
  </si>
  <si>
    <t>(사용 중지) 채팅 입력의 필수 슬롯 미충족</t>
  </si>
  <si>
    <t>(사용 중지)</t>
  </si>
  <si>
    <t>사용하지 않는다. 폼 필수 항목 검사(E-C1-REQUIRED)로 대체되었고 실행 중 되묻기는 폐지되었다 (4-1)</t>
  </si>
  <si>
    <t>E-C1-ORDER</t>
  </si>
  <si>
    <t>아이템 없이 공고부터 지정</t>
  </si>
  <si>
    <t>먼저 어떤 아이템인지 알려주세요. 공고는 그다음에 찾아드립니다.</t>
  </si>
  <si>
    <t>진입 순서 위반으로 거절. 공고 목록을 먼저 노출하지 않는다 (4-1)</t>
  </si>
  <si>
    <t>E-C1-TIMEOUT</t>
  </si>
  <si>
    <t>LLM 호출 실패 · 응답 지연 · 응답 형식 오류</t>
  </si>
  <si>
    <t>잠시 문제가 있었습니다. 다시 시도해주세요.</t>
  </si>
  <si>
    <t>재시도 횟수를 넘기면 재개하지 않고 세션을 진입 전 상태로 롤백한다. 아직 실행 건이 없기 때문이다 (4-7 E14, R-11)</t>
  </si>
  <si>
    <t>E-C2-NOMATCH</t>
  </si>
  <si>
    <t>정형 필터 통과 후보 0건</t>
  </si>
  <si>
    <t>지금 신청 가능한 공고가 없습니다. 입력한 정보를 확인해주세요.</t>
  </si>
  <si>
    <t>빈 배열 반환. 유사 조건으로 넓히지 않고 사전 정보 입력으로 돌려보낸다 (4-7 E2)</t>
  </si>
  <si>
    <t>E-C2-STALE</t>
  </si>
  <si>
    <t>수집 실패 또는 최종 수집 24시간 초과</t>
  </si>
  <si>
    <t>공고 정보를 갱신하는 중입니다. 갱신 후 다시 확인해주세요.</t>
  </si>
  <si>
    <t>매칭을 진행하지 않고 수집 상태 경고 표시. 조용한 실패 금지 (4-2)</t>
  </si>
  <si>
    <t>E-C2-EMBED</t>
  </si>
  <si>
    <t>임베딩 검색 또는 BM25 검색 오류</t>
  </si>
  <si>
    <t>추천 정확도가 낮아질 수 있습니다.</t>
  </si>
  <si>
    <t>임베딩 검색 오류면 BM25 검색 결과를 제시한다 (5-3). BM25 검색 오류면 임베딩 단독 순위, 둘 다 실패하면 마감 임박순으로 폴백한다(잠정). fallbackUsed=true와 fallbackMode를 표시하고, 마감 임박순이면 '마감 임박순으로 보여드립니다'를 덧붙인다. 정형 필터는 생략하지 않는다</t>
  </si>
  <si>
    <t>E-G1-MISSING</t>
  </si>
  <si>
    <t>게이트 필수 입력(applicantType, 개인사업자 · 법인의 foundedAt) 결측</t>
  </si>
  <si>
    <t>신청 가능 여부를 확인하려면 사전 정보의 필수 항목이 필요합니다. 입력한 정보를 확인해주세요.</t>
  </si>
  <si>
    <t>판정 보류. 사전 정보 입력으로 돌려보낸다. 폼이 필수 항목을 강제하므로 정상 흐름에서는 발생하지 않는다. 실행 중 되묻기는 두지 않는다 (4-1)</t>
  </si>
  <si>
    <t>E-G1-UNPARSED</t>
  </si>
  <si>
    <t>eligibilityParsed=false로 정형화 실패</t>
  </si>
  <si>
    <t>이 공고는 자격요건 자동 확인이 어렵습니다. 공고문을 직접 확인해주세요.</t>
  </si>
  <si>
    <t>undecidable=true. 임의 통과를 허용하지 않는다</t>
  </si>
  <si>
    <t>E-G1-REJECT</t>
  </si>
  <si>
    <t>자격 불통과</t>
  </si>
  <si>
    <t>이 공고는 {사유}로 신청이 어렵습니다. 다른 공고를 보여드릴까요?</t>
  </si>
  <si>
    <t>실행 차단. 감점으로 환산하지 않는다 (4-2③)</t>
  </si>
  <si>
    <t>E-C1-REQUIRED</t>
  </si>
  <si>
    <t>사전 정보 폼의 필수 항목 결측 (수익모델 단가 등)</t>
  </si>
  <si>
    <t>필수 항목을 입력해주세요: {누락 항목}</t>
  </si>
  <si>
    <t>폼 제출 단계에서 차단하고 Task를 실행하지 않는다. 실행 중 되묻기는 두지 않는다 (4-1, 4-6)</t>
  </si>
  <si>
    <t>E-C1-DOC</t>
  </si>
  <si>
    <t>첨부 문서 텍스트 추출 실패</t>
  </si>
  <si>
    <t>{파일명}의 내용을 읽지 못해 참고 자료에서 제외했습니다. 나머지 정보로 계속 진행합니다.</t>
  </si>
  <si>
    <t>해당 문서를 참조 대상에서 제외하고 사용자에게 알린다. 첨부는 선택 입력이므로 파이프라인은 계속 진행한다 (4-2, 4-6)</t>
  </si>
  <si>
    <t>E-C3-FORM</t>
  </si>
  <si>
    <t>양식 정보 없음</t>
  </si>
  <si>
    <t>(노출 없음)</t>
  </si>
  <si>
    <t>이번 범위에서는 양식을 신청자 유형으로 고르므로 정상 흐름에서는 발생하지 않는다. 방어용으로 두며, 발생하면 분해 실패로 처리하고 오류로 기록한다 (6-4)</t>
  </si>
  <si>
    <t>E-B1-ENTRY</t>
  </si>
  <si>
    <t>진입 파일 미생성</t>
  </si>
  <si>
    <t>재수행 횟수까지 재수행한다. 넘기면 그대로 보내고 codeCheck.total=0으로 반영한다 (5-6)</t>
  </si>
  <si>
    <t>E-B1-DEP</t>
  </si>
  <si>
    <t>외부 CDN · 빌드 도구 의존 감지</t>
  </si>
  <si>
    <t>재수행 횟수까지 재수행한다. 넘기면 그대로 보내고 미충족을 점수에 반영한다 (4-6의 산출 형식 고정, 5-6)</t>
  </si>
  <si>
    <t>E-V1-EVIDENCE</t>
  </si>
  <si>
    <t>evidenceLocator 없는 감점</t>
  </si>
  <si>
    <t>해당 감점을 무효 처리하고 점수 복원 (5-5)</t>
  </si>
  <si>
    <t>E-V1-VARIANCE</t>
  </si>
  <si>
    <t>동일 입력 재채점 편차 상한 초과</t>
  </si>
  <si>
    <t>varianceFlag=true. 관리자 화면에 경고 기록</t>
  </si>
  <si>
    <t>E-V2-PARSE</t>
  </si>
  <si>
    <t>HTML 파싱 실패</t>
  </si>
  <si>
    <t>해당 항목만 미충족 처리하고 나머지 항목 계산은 계속</t>
  </si>
  <si>
    <t>E-V2-NOFEATURE</t>
  </si>
  <si>
    <t>featureList 공백으로 대조 불가</t>
  </si>
  <si>
    <t>판정을 보류하고 오류로 기록한다. T-S1이 검사 미통과 때 coreFeatures를 승계해 확정하므로 정상 흐름에서는 발생하지 않는다</t>
  </si>
  <si>
    <t>E-P2-TOKEN</t>
  </si>
  <si>
    <t>보호 토큰 소실 · 변조</t>
  </si>
  <si>
    <t>redoHint에 위반 내역을 실어 같은 문장 재수행</t>
  </si>
  <si>
    <t>E-P2-RETRY</t>
  </si>
  <si>
    <t>문장 재수행 횟수 초과</t>
  </si>
  <si>
    <t>해당 문장만 원문 유지. 관리자 로그 기록 후 학습 데이터로 회수 (6-6)</t>
  </si>
  <si>
    <t>E-G2-LIMIT</t>
  </si>
  <si>
    <t>G-02a · G-02b · R-6</t>
  </si>
  <si>
    <t>재작성 기회를 다 쓴 묶음을 고름</t>
  </si>
  <si>
    <t>이 항목은 다시 만들 수 있는 횟수를 모두 사용했습니다. 다시 만들기 전과 후 중 점수가 높은 결과가 반영되어 있습니다.</t>
  </si>
  <si>
    <t>해당 묶음을 고를 수 없게 표시한다. 재작성 전후 중 점수가 높은 쪽이 남아 있으며 이전 결과는 보존한다. 미달 항목의 묶음이 모두 기회를 다 쓰면 진행만 허용한다 (4-7 E5, 5-6)</t>
  </si>
  <si>
    <t>E-AUTH-CONSENT</t>
  </si>
  <si>
    <t>로그인</t>
  </si>
  <si>
    <t>필수 동의 거부</t>
  </si>
  <si>
    <t>필수 항목에 동의해야 계정과 작업 결과를 보관할 수 있습니다.</t>
  </si>
  <si>
    <t>진입을 중단한다. 재동의하면 진행한다 (4-7 E7, 6-7)</t>
  </si>
  <si>
    <t>E-AUTH-PROFILE</t>
  </si>
  <si>
    <t>로그인 · R-9</t>
  </si>
  <si>
    <t>마이페이지 프로필 없음 (최초 로그인 또는 프로필을 모두 삭제한 뒤)</t>
  </si>
  <si>
    <t>서비스를 이용하려면 먼저 마이페이지에서 프로필을 만들어주세요.</t>
  </si>
  <si>
    <t>마이페이지 프로필 작성으로 안내한다. 필수 항목을 채운 프로필이 생기기 전에는 새 실행을 시작할 수 없다 (4-7 E10, 6-7)</t>
  </si>
  <si>
    <t>E-RUN-CONCURRENT</t>
  </si>
  <si>
    <t>진행 중 실행이 있는 상태에서 새 실행 시도</t>
  </si>
  <si>
    <t>진행 중인 작업이 있습니다. 이어서 진행하거나, 중단하고 새로 시작할 수 있습니다. 중단하면 지금까지의 결과를 다시 볼 수 없습니다.</t>
  </si>
  <si>
    <t>새 Run을 만들지 않고 blocked=true를 반환한다. 진행 중인 작업의 현재 단계를 보여주고 이어하기와 중단 후 새로 시작 중 선택하게 한다 (4-7 E8). '중단 후 새로 시작'을 고르면 결과를 다시 볼 수 없다는 사실을 확인받는다</t>
  </si>
  <si>
    <t>E-G2-UNREACHABLE</t>
  </si>
  <si>
    <t>산출물층 만점으로도 Threshold 도달 불가</t>
  </si>
  <si>
    <t>프로토타입만 다시 만들어서는 기준 점수에 이르지 못합니다. 계획서 항목을 함께 선택해주세요.
(계획서 항목의 기회가 남지 않은 경우) 남은 항목을 다시 만들어도 기준 점수에 이르지 못합니다. 이대로 진행할 수 있습니다.</t>
  </si>
  <si>
    <t>재작성 버튼을 막지 않으며 선택은 사용자가 한다. 문서 평가에서 미달인 채로 진행한 경우에 발생한다 (4-5, 4-7 E9). 계획서 묶음의 재작성 기회가 남지 않았으면 두 번째 문구를 쓴다</t>
  </si>
  <si>
    <t>E-RUN-FAIL</t>
  </si>
  <si>
    <t>R-9 · R-11</t>
  </si>
  <si>
    <t>실행 실패 (재개 상한 초과 또는 영구 오류)</t>
  </si>
  <si>
    <t>일시적인 문제로 작업을 완료하지 못했습니다. 새 작업으로 다시 시작해주세요.</t>
  </si>
  <si>
    <t>progress='실패'로 실행을 끝낸다. 실패 알림을 만들어 이어하기 목록으로 연결하고, 영구 오류면 관리자에게 알린다. 실패한 실행에는 들어갈 수 없고 결과도 볼 수 없으며 DB 이력은 남긴다. 계정당 1건 제한에서 세지 않는다 (4-7 E11, 5-8)</t>
  </si>
  <si>
    <t>E-RUN-ROLLBACK</t>
  </si>
  <si>
    <t>R-6 · R-11</t>
  </si>
  <si>
    <t>재작성 실패 (재작성 중 재개 상한 초과 또는 영구 오류)</t>
  </si>
  <si>
    <t>일시적인 문제로 다시 만들지 못해 이전 결과로 되돌렸습니다. 다시 만들 기회는 그대로 남아 있습니다.</t>
  </si>
  <si>
    <t>요청 전 결과로 되돌리고 그 묶음의 기회를 돌려준다. 실패 알림(kind='실패', failureScope='재작성')을 보낸다. 실행 전체는 실패로 보지 않는다 (4-7 E12, 5-6)</t>
  </si>
  <si>
    <t>E-RUN-CLOSED</t>
  </si>
  <si>
    <t>이어하기로 돌아왔을 때 선택 공고 마감</t>
  </si>
  <si>
    <t>선택하신 공고의 접수가 마감되었습니다. 계속 진행할지 선택해주세요.</t>
  </si>
  <si>
    <t>마감 사실만 알리고, 계속 진행할지는 사용자가 정한다 (4-7 E13)</t>
  </si>
  <si>
    <t>E-W1-REMOVED</t>
  </si>
  <si>
    <t>T-W1 · R-6</t>
  </si>
  <si>
    <t>재수행 뒤에도 입력에 없는 경력 서술이나 지원규모 상한을 넘는 금액이 남음</t>
  </si>
  <si>
    <t>입력하지 않은 경력이나 지원 규모를 넘는 금액이 반복해서 작성되어 해당 부분을 지웠습니다. 필요하면 직접 보완해주세요.</t>
  </si>
  <si>
    <t>해당 서술을 지우고(확정 동작) scoreReport.notices에 담아 문서 평가 화면(재작성 중이면 요청한 화면)에 알린다 (4-6, 5-6)</t>
  </si>
  <si>
    <t>미달 유형 (사용자 재작성)</t>
  </si>
  <si>
    <t>판정 · 제시 화면</t>
  </si>
  <si>
    <t>다시 돌릴 Task</t>
  </si>
  <si>
    <t>재작성 단위</t>
  </si>
  <si>
    <t>결과 처리</t>
  </si>
  <si>
    <t>문서층 항목 미달 (섹션 서술 부족 · 필수 섹션 누락)</t>
  </si>
  <si>
    <t>T-V1 → 화면 6 · 9 (G-02a · G-02b)</t>
  </si>
  <si>
    <t>T-W1 · T-W2 · T-W3</t>
  </si>
  <si>
    <t>묶음</t>
  </si>
  <si>
    <t>고른 묶음의 본문 · 차트 · 표만 다시 만들고 T-V1이 재채점한다. 전후 점수 중 높은 쪽을 남긴다. 화면 9에서 고르면 HTML에도 반영해(T-B1 → G-04 → T-V2) 두 층을 재채점한다. 묶음 구성과 평가 항목의 대응은 미확정</t>
  </si>
  <si>
    <t>코드 검증 1번 (진입 파일 존재) 미충족 (웹개발 · AI API)</t>
  </si>
  <si>
    <t>T-V2 → 화면 8 · 9</t>
  </si>
  <si>
    <t>실행 파일</t>
  </si>
  <si>
    <t>다시 만든 뒤에도 미충족이면 codeCheck.total=0으로 반영. 전후 점수 중 높은 쪽을 남긴다</t>
  </si>
  <si>
    <t>코드 검증 2번 (대체 텍스트) 미충족 (웹개발 · AI API)</t>
  </si>
  <si>
    <t>다시 만든 결과를 점수에 반영. 전후 점수 중 높은 쪽을 남긴다</t>
  </si>
  <si>
    <t>코드 검증 3~6번 · 8번 미충족 (웹개발 · AI API)</t>
  </si>
  <si>
    <t>대조 missingFeatures 발생 (웹개발 · AI API)</t>
  </si>
  <si>
    <t>감점을 그대로 반영. 계획서를 고쳐 맞추지 않는다</t>
  </si>
  <si>
    <t>코드 검증 1~7번 미충족 (원페이지)</t>
  </si>
  <si>
    <t>대조 missingFeatures 발생 (원페이지)</t>
  </si>
  <si>
    <t>실행 · 열람 안내 문서 미충족 (웹개발 7번 · 원페이지 8번)</t>
  </si>
  <si>
    <t>안내 문서</t>
  </si>
  <si>
    <t>G-04만 다시 실행한다. 이 항목을 재작성 목록에 따로 올릴지는 미확정. 넘긴 뒤에도 미충족이면 점수에 반영</t>
  </si>
  <si>
    <t>미달 유형 (검사 미통과 재수행)</t>
  </si>
  <si>
    <t>판정 위치</t>
  </si>
  <si>
    <t>재수행 Task</t>
  </si>
  <si>
    <t>재수행 단위</t>
  </si>
  <si>
    <t>재수행 횟수를 넘긴 뒤</t>
  </si>
  <si>
    <t>featureList 공백 또는 coreFeatures 누락</t>
  </si>
  <si>
    <t>T-S1 (자체 검사)</t>
  </si>
  <si>
    <t>itemSpec.coreFeatures를 승계해 확정 (예외)</t>
  </si>
  <si>
    <t>시장 수치에 출처 없음</t>
  </si>
  <si>
    <t>T-S2 (자체 검사)</t>
  </si>
  <si>
    <t>수치를 모두 제거하고 정성 서술만 남김 (예외)</t>
  </si>
  <si>
    <t>입력에 없는 경력 생성 · 자금 합계 초과</t>
  </si>
  <si>
    <t>T-W1 (자체 검사)</t>
  </si>
  <si>
    <t>섹션</t>
  </si>
  <si>
    <t>해당 서술을 지우고 사용자에게 알림 (예외, E-W1-REMOVED)</t>
  </si>
  <si>
    <t>필수 섹션 누락 · 최소 분량 미달 · 일정 기준선 초과</t>
  </si>
  <si>
    <t>그대로 보냄</t>
  </si>
  <si>
    <t>본문과 차트 수치 불일치</t>
  </si>
  <si>
    <t>T-W2 (자체 검사)</t>
  </si>
  <si>
    <t>차트 1건</t>
  </si>
  <si>
    <t>해당 차트 폐기 + 본문의 차트 참조 문구 제거 (예외)</t>
  </si>
  <si>
    <t>표 합계 불일치 · 일정 기준선 위반</t>
  </si>
  <si>
    <t>T-W3 (자체 검사)</t>
  </si>
  <si>
    <t>표 1건</t>
  </si>
  <si>
    <t>표 제거 후 본문 서술로 대체 (예외)</t>
  </si>
  <si>
    <t>진입 파일 미생성 · 외부 CDN · 빌드 도구 의존</t>
  </si>
  <si>
    <t>T-B1 (자체 검사)</t>
  </si>
  <si>
    <t>그대로 보냄. 미충족은 코드 점수에 반영</t>
  </si>
  <si>
    <t>이미지 미생성 · altText 공백 · 도식 수치 불일치</t>
  </si>
  <si>
    <t>T-B2 (자체 검사)</t>
  </si>
  <si>
    <t>그대로 보냄. 미충족은 점수에 반영</t>
  </si>
  <si>
    <t>보호 토큰 위반</t>
  </si>
  <si>
    <t>T-P2 (자체 검사)</t>
  </si>
  <si>
    <t>해당 문장만 원문 유지 (예외). 점수에는 영향 없음</t>
  </si>
  <si>
    <t>※ 위 표는 사용자 재작성, 아래 표는 검사 미통과 재수행이다. 재작성은 묶음마다 재작성 횟수까지이고 문서 평가 · 산출물 확인 · 종합 평가(6 · 8 · 9)가 같은 횟수를 쓴다. 첫 실행은 세지 않는다. 재수행은 재수행 횟수(검수는 검수 재수행 횟수)까지다. 호출 실패의 재시도 · 재개는 R-11을 따른다 (5-6, 5-7, 5-8).</t>
  </si>
  <si>
    <t>※ 재수행 표에서 마지막 열이 '그대로 보냄'이 아닌 행이 예외 여섯 곳이다(T-S1 · T-S2 · T-W1 · T-W2 · T-W3 · T-P2). 루프(횟수 세기와 다시 부르기)는 조율이, 검사와 확정 동작은 각 Agent가 맡는다.</t>
  </si>
  <si>
    <t>※ 사용자가 여러 묶음을 한 번에 고르면 다시 돌릴 Task를 failedTaskIds에 중복 없이 합집합으로 담고, 실행 순서(2번 시트 F열)대로 실행한다. 고른 묶음은 서로 영향을 주지 않는다.</t>
  </si>
  <si>
    <t>※ 원페이지는 T-B1이 실행 목록에 없으므로 코드 검증과 대조의 재작성 대상이 T-B2(인포그래픽)다. 이 행들이 없으면 미달은 있는데 다시 만들 대상이 비게 된다. 매핑된 재작성 대상이 실행 Task 목록에 없으면 R-6은 재작성 버튼을 노출하지 않고 진행만 허용한다.</t>
  </si>
  <si>
    <t>※ 판정 · 제시 화면의 화살표 뒤가 사용자에게 결과를 보여주는 화면이다. 화면 6은 G-02a, 9는 G-02b가 판정하고, 8은 합격선 없이 점검 결과만 보여준다. 화면 8의 재작성 목록은 T-V2 체크리스트의 non-pass 항목에서 만든다. 재작성은 사용자가 요청했을 때만 실행되며, 권유 상태에서 그대로 진행하는 선택도 허용한다 (5-6).</t>
  </si>
  <si>
    <t>※ 문서층 항목 미달은 G-02a뿐 아니라 G-02b에서도 재작성 대상으로 제시된다. 종합 평가의 미달 목록은 계획서와 프로토타입 항목을 합쳐서 내며, ReworkOrder.layer로 두 층을 구분한다. 계획서 묶음을 고르면 HTML에도 반영되어 두 층을 모두 재채점하고, 프로토타입만 고르면 문서층을 승계한다 (5-6).</t>
  </si>
  <si>
    <t>※ 실행 · 열람 안내 문서는 구현 Task가 아니라 G-04(R-10)가 만든다. 실행 파일이나 인포그래픽을 다시 만들면 G-04와 T-V2가 따라서 다시 돌므로, 안내 문서만 미충족일 때에 한해 G-04만 다시 실행한다.</t>
  </si>
  <si>
    <t>※ T-S1 · T-S2는 사용자 재작성 대상이 아니다. 그래서 기능 목록은 재작성으로 바뀌지 않는다 (4-7).</t>
  </si>
  <si>
    <t>시트</t>
  </si>
  <si>
    <t>대상</t>
  </si>
  <si>
    <t>변경 내용</t>
  </si>
  <si>
    <t>반영 근거</t>
  </si>
  <si>
    <t>── v1.1 (2026-09-08) · 기획서 v1.4 반영 ──</t>
  </si>
  <si>
    <t>earlyStoppedParagraphIds 추가</t>
  </si>
  <si>
    <t>기획서 5-7</t>
  </si>
  <si>
    <t>contaminatedTokens 추가 · alteredTokens 설명 구체화</t>
  </si>
  <si>
    <t>신설 (5개 필드)</t>
  </si>
  <si>
    <t>기획서 5-6</t>
  </si>
  <si>
    <t>reworkOrders 추가</t>
  </si>
  <si>
    <t>judgedBy 추가 — 자기 신고 기반 판정 금지</t>
  </si>
  <si>
    <t>기획서 v1.4 반영</t>
  </si>
  <si>
    <t>kind 추가 · htmlSource→sourceText · implementedFeatures 참고값 강등</t>
  </si>
  <si>
    <t>A · B · 기획서 5-4</t>
  </si>
  <si>
    <t>원페이지 svg 강제</t>
  </si>
  <si>
    <t>A · 기획서 5-4</t>
  </si>
  <si>
    <t>kind별 8항목 명시</t>
  </si>
  <si>
    <t>supportAmountText 추가</t>
  </si>
  <si>
    <t>원페이지 체크리스트 분기 반영</t>
  </si>
  <si>
    <t>겹침 처리 · 위반 3유형 · 조기 중단 명시</t>
  </si>
  <si>
    <t>reworkOrders · 의존 전파 · 최고점 채택 · 공집합 방어 추가</t>
  </si>
  <si>
    <t>신설 — 보호 토큰 추출 모듈 (기존 6종에 누락)</t>
  </si>
  <si>
    <t>C · 기획서 5-7, 7-1</t>
  </si>
  <si>
    <t>7_재수행매핑</t>
  </si>
  <si>
    <t>차트 · 표 행</t>
  </si>
  <si>
    <t>판정 위치를 T-V1 → T-W2 · T-W3 자체 검사로 이동</t>
  </si>
  <si>
    <t>원페이지 2행</t>
  </si>
  <si>
    <t>신설 — 재수행 대상을 T-B1이 아닌 T-B2로</t>
  </si>
  <si>
    <t>A · 기획서 4-4, 5-6</t>
  </si>
  <si>
    <t>주석</t>
  </si>
  <si>
    <t>원페이지 분기 설명 추가</t>
  </si>
  <si>
    <t>T-W2 · T-W3</t>
  </si>
  <si>
    <t>수치 자체 검사 명시 (E)</t>
  </si>
  <si>
    <t>E · 기획서 5-5</t>
  </si>
  <si>
    <t>implementedFeatures 자기 신고 명시 (B)</t>
  </si>
  <si>
    <t>B · 기획서 4-5</t>
  </si>
  <si>
    <t>원페이지에서 산출물 본체 · svg 고정 (A)</t>
  </si>
  <si>
    <t>A · 기획서 4-4</t>
  </si>
  <si>
    <t>직접 파싱 판정 (B) · kind 분기 (A) · 대조 감점 규칙 명시</t>
  </si>
  <si>
    <t>A · B · 기획서 4-5</t>
  </si>
  <si>
    <t>G-02</t>
  </si>
  <si>
    <t>reworkOrders · 공집합 방어 · 최고점 채택</t>
  </si>
  <si>
    <t>동일 출력 조기 중단</t>
  </si>
  <si>
    <t>신설 — 보호 토큰 추출. T-P1의 protectedTokens를 만드는 주체가 없었다</t>
  </si>
  <si>
    <t>C · 기획서 5-7</t>
  </si>
  <si>
    <t>5개 변수</t>
  </si>
  <si>
    <t>설명 갱신 (B · A · contaminated · G-03 출처)</t>
  </si>
  <si>
    <t>reworkOrders 행 추가</t>
  </si>
  <si>
    <t>입출력 5행 추가</t>
  </si>
  <si>
    <t>1_개요</t>
  </si>
  <si>
    <t>머리말 · 시트 구성</t>
  </si>
  <si>
    <t>출처 v1.4 · 규칙모듈 7종 · 8_변경이력 추가</t>
  </si>
  <si>
    <t>COUNTIFS 범위 18→19행 확장 (7건)</t>
  </si>
  <si>
    <t>── v1.2 (2026-09-09) · 기획서 v1.5 반영 ──</t>
  </si>
  <si>
    <t>G-02를 문서 평가 판정으로 분리 · 사용자 선택 트리거</t>
  </si>
  <si>
    <t>기획서 v1.5</t>
  </si>
  <si>
    <t>신설 — 종합 평가 판정. 채점이 두 시점으로 갈림</t>
  </si>
  <si>
    <t>실행 순서 전체</t>
  </si>
  <si>
    <t>1~19로 재부여. 검증-1이 구현 앞으로, 소수점 순서 제거</t>
  </si>
  <si>
    <t>Task No 1~14</t>
  </si>
  <si>
    <t>새 실행 순서에 맞춰 재부여. T-V1이 구현 앞으로 오면서 번호가 밀렸다</t>
  </si>
  <si>
    <t>T-V1 · T-B1 · T-B2 · T-V2 · G-03</t>
  </si>
  <si>
    <t>호출 조건을 새 실행 순서와 사용자 요청 기준으로 갱신</t>
  </si>
  <si>
    <t>폼 입력 · 첨부 참조 반영, 되묻기 제거</t>
  </si>
  <si>
    <t>T-C3 · T-C4</t>
  </si>
  <si>
    <t>되묻기 분기 삭제 · 진행률 전달 방식 명시</t>
  </si>
  <si>
    <t>phase · displayScore 추가 — 채점 2회 구조</t>
  </si>
  <si>
    <t>되묻기 전제 제거</t>
  </si>
  <si>
    <t>revenueUnitPrice 필수 · teamCareers 선택 추가</t>
  </si>
  <si>
    <t>PreInput · ReferenceDoc · ReferenceSummary</t>
  </si>
  <si>
    <t>신설 — 사전 정보 입력과 첨부 문서</t>
  </si>
  <si>
    <t>phase별 2회 호출 · 사용자 선택 트리거 · 재채점 범위 명시</t>
  </si>
  <si>
    <t>신설 — 첨부 문서 텍스트 추출</t>
  </si>
  <si>
    <t>E-C1-REQUIRED · E-C1-DOC · E-G2-LIMIT</t>
  </si>
  <si>
    <t>되묻기 오류 대체 · 첨부 추출 실패 신설</t>
  </si>
  <si>
    <t>G-02a · G-02b로 분리 · 사용자 선택 트리거 주석 추가</t>
  </si>
  <si>
    <t>G-02a · G-02b · T-C1</t>
  </si>
  <si>
    <t>판정 분리 반영 · 종합 평가 6행 신설 · 폼 입력과 첨부 반영</t>
  </si>
  <si>
    <t>머리말 · 시트 설명 · 범례</t>
  </si>
  <si>
    <t>출처 v1.5 · 규칙모듈 8종 · 제외 항목 5건 · COUNTIFS 범위 확장</t>
  </si>
  <si>
    <t>※ v1.2 주요 변경 — 검증-1을 구현 앞으로 옮겨 채점을 문서 평가와 종합 평가 두 시점으로 분리했다. 재수행은 자동 실행에서 사용자 요청 실행으로 바뀌었으며, 선별 재수행 로직 자체는 그대로 적용된다.</t>
  </si>
  <si>
    <t>── v1.3 (2026-09-09) · 기획서 v1.5 반영 ──</t>
  </si>
  <si>
    <t>산출물 고지 3필드 추가 (6-8)</t>
  </si>
  <si>
    <t>사용 중지 표기 — PreInput으로 대체</t>
  </si>
  <si>
    <t>출처 고지와 원문 링크 추가 (6-1)</t>
  </si>
  <si>
    <t>원본 파기 시각 추가 (6-7)</t>
  </si>
  <si>
    <t>Account · Consent · Run · RunState</t>
  </si>
  <si>
    <t>신설 — 로그인·동의·실행 상태와 이어하기</t>
  </si>
  <si>
    <t>신설 — 실행 상태 관리·이어하기·동시 실행 제한</t>
  </si>
  <si>
    <t>E-AUTH-CONSENT · E-RUN-CONCURRENT</t>
  </si>
  <si>
    <t>신설 — 동의 거부·동시 실행 위반</t>
  </si>
  <si>
    <t>T-C1 · T-C2 · T-C4</t>
  </si>
  <si>
    <t>동시 실행 제한 · 첨부 원본 파기 · 출처 고지 · 산출물 고지</t>
  </si>
  <si>
    <t>머리말 · 시트 설명</t>
  </si>
  <si>
    <t>출처 v1.5 · 규칙모듈 9종</t>
  </si>
  <si>
    <t>※ v1.3 주요 변경 — 로그인과 동의(Account · Consent), 실행 상태와 이어하기(Run · RunState · R-9), 동시 실행 계정당 1건 제한, 공고 카드 출처 고지, 산출물 AI 생성 고지, 첨부 원본 추출 직후 파기.</t>
  </si>
  <si>
    <t>── v1.4 (2026-09-09) · 기획서 v1.6 반영 ──</t>
  </si>
  <si>
    <t>layer 추가 — 종합 평가 통합 목록의 층 구분</t>
  </si>
  <si>
    <t>기획서 v1.6</t>
  </si>
  <si>
    <t>carriedOverLayer 추가 — 층별 승계 이력</t>
  </si>
  <si>
    <t>'산출물확인' 상태 신설 · 복귀 번호를 11단계 기준으로 갱신</t>
  </si>
  <si>
    <t>점검과 판정 분리 — 산출물 화면 합격선 미표기</t>
  </si>
  <si>
    <t>통합 재작성 목록 · 층별 승계 · 도달 불가 안내</t>
  </si>
  <si>
    <t>재작성이 화면 내 동작임을 명시</t>
  </si>
  <si>
    <t>통합 목록 · 층별 승계 · 도달 불가 안내 반영</t>
  </si>
  <si>
    <t>복귀 지점 기준을 11단계 흐름으로 갱신</t>
  </si>
  <si>
    <t>신설 — 도달 불가 안내</t>
  </si>
  <si>
    <t>문서층 항목 미달 행 · 주석</t>
  </si>
  <si>
    <t>G-02b에서도 재작성 대상임을 명시</t>
  </si>
  <si>
    <t>머리말</t>
  </si>
  <si>
    <t>출처 v1.6</t>
  </si>
  <si>
    <t>※ v1.4 주요 변경 — 합격선 판정은 문서 평가(G-02a)와 종합 평가(G-02b) 두 곳에서만 한다. 산출물 확인 화면은 점검 결과만 제시하며 합격선을 표기하지 않는다. 종합 평가의 미달 목록은 계획서와 프로토타입 항목을 합쳐 내고, 선택된 층에 따라 재채점 범위와 승계 층이 갈린다.</t>
  </si>
  <si>
    <t>── v1.5 (2026-09-09) · 기획서 v1.7 반영 ──</t>
  </si>
  <si>
    <t>신설 — 실행 안내 문서 생성. 검증 항목의 대상 파일을 만드는 주체가 없었다</t>
  </si>
  <si>
    <t>기획서 v1.7</t>
  </si>
  <si>
    <t>1~20으로 재부여. G-04가 구현과 검증-2 사이에 들어감</t>
  </si>
  <si>
    <t>열람 모달 · 변경 내역 · 검수 진입 비가역 확인</t>
  </si>
  <si>
    <t>검수 진입 이후 비가역 명시</t>
  </si>
  <si>
    <t>신설 — 종합 평가의 재작성 전후 대비</t>
  </si>
  <si>
    <t>reworkDiff 추가</t>
  </si>
  <si>
    <t>Prototype.readmePath</t>
  </si>
  <si>
    <t>생성 주체를 G-04로 명시 (필드는 기존)</t>
  </si>
  <si>
    <t>검수 진입 비가역 명시</t>
  </si>
  <si>
    <t>신설 — 실행 안내 문서 생성</t>
  </si>
  <si>
    <t>출처 v1.7 · 규칙모듈 10종 · 제외 항목 6건</t>
  </si>
  <si>
    <t>※ v1.5 주요 변경 — 실행 안내 문서 생성을 G-04(규칙 모듈 R-10)로 신설해 구현과 검증-2 사이에 배치했다. 코드 검증 항목이 판정 대상으로 삼는 문서를 만드는 주체가 없던 공백을 메운 것이다. 종합 평가에 재작성 변경 내역(ReworkDiff)이 추가되고, 검수 진입 이후에는 이전 단계로 돌아가지 않는다.</t>
  </si>
  <si>
    <t>※ 미확정 — 재수행 상한을 세는 단위, ScoreReport.carriedOverFrom 추가 여부, 의존 전파 범위, 검수 문단 재시도 상한 기본값, 원페이지 최소 글자 크기 하한과 래스터 면적 허용 비율.</t>
  </si>
  <si>
    <t>── v1.6 (2026-09-18) · 기획서 v1.8 반영 ──</t>
  </si>
  <si>
    <t>첫 조회 10건(카드 3 + 리스트 7) · 추가 조회 10건 · 최대 20건, 하이브리드 서치, 가산점 근거 자료 제시, 폴백 규칙(잠정)</t>
  </si>
  <si>
    <t>기획서 v1.8 (4-2②, 5-3)</t>
  </si>
  <si>
    <t>확대된 사전 정보 입력 반영, category 출력 명시, confidence 타입 표기를 3번 시트와 통일</t>
  </si>
  <si>
    <t>기획서 v1.8 (4-2①)</t>
  </si>
  <si>
    <t>예비창업자는 설립일자 없음(조건부 필수), 대조 항목 미확정 명시</t>
  </si>
  <si>
    <t>기획서 v1.8 (4-2①, 4-7)</t>
  </si>
  <si>
    <t>topK 10 · offset 0/10 · candidates 10건 이하로 갱신, fallbackMode 행 추가</t>
  </si>
  <si>
    <t>PreInput · CompanyInfo</t>
  </si>
  <si>
    <t>공통 · 유형별 신청자 항목 추가. 희망 지역 · 주 업종을 사전 정보 입력에서 받는다</t>
  </si>
  <si>
    <t>similarity → fitScore, rank · displayType 추가</t>
  </si>
  <si>
    <t>bonusInfo 추가, summaryEmbedding 생성 방식(BGE-M3 · Chroma) 명시</t>
  </si>
  <si>
    <t>ageMax · regionCodes · industryCodes 설명 갱신</t>
  </si>
  <si>
    <t>기획서 v1.8 (6-3)</t>
  </si>
  <si>
    <t>BM25 색인 갱신, BGE-M3 · Chroma, 소재 지역 · 업종 정형화</t>
  </si>
  <si>
    <t>기획서 v1.8 (5-3, 6-3)</t>
  </si>
  <si>
    <t>설립일자 조건부 필수, 되묻기 제거, 대조 항목 미확정 명시</t>
  </si>
  <si>
    <t>기획서 v1.8 (4-1, 4-7)</t>
  </si>
  <si>
    <t>하이브리드 서치(임베딩 + BM25, RRF 통합)로 변경, fitScore 산식 · 폴백 규칙(잠정)</t>
  </si>
  <si>
    <t>기획서 v1.8 (5-3)</t>
  </si>
  <si>
    <t>E-C2-EMBED · E-C2-NOMATCH</t>
  </si>
  <si>
    <t>하이브리드 서치 폴백 반영, 조건을 넓히지 않고 정보 수정으로 복귀</t>
  </si>
  <si>
    <t>기획서 v1.8 (5-3, 4-7 E2)</t>
  </si>
  <si>
    <t>출처 v1.8 · 작성 기준일 · 시트 설명</t>
  </si>
  <si>
    <t>기획서 v1.8</t>
  </si>
  <si>
    <t>행 순서</t>
  </si>
  <si>
    <t>T-V1 행을 T-B1 앞으로 옮겨 실행 순서와 No를 일치시킴</t>
  </si>
  <si>
    <t>정합성 (1_개요 B9)</t>
  </si>
  <si>
    <t>T-C1 · T-C3 · T-W1 · T-W3 · G-01</t>
  </si>
  <si>
    <t>폐지된 되묻기 · 보충 입력 잔재 제거. supplement → companyInfo</t>
  </si>
  <si>
    <t>기획서 4-1, 4-6</t>
  </si>
  <si>
    <t>referenceSummary 입력 추가 — 첨부 참조 자료를 지시에 싣는 입력이 없었다</t>
  </si>
  <si>
    <t>기획서 4-4</t>
  </si>
  <si>
    <t>T-V2 · T-P1 · G-03</t>
  </si>
  <si>
    <t>호출 조건 정정 — T-V2는 G-04 다음, 검수는 미달 상태에서 확인 후 진행하는 경로 포함</t>
  </si>
  <si>
    <t>기획서 4-4, 4-7</t>
  </si>
  <si>
    <t>T-B2 · T-V2 · T-P2</t>
  </si>
  <si>
    <t>Failure 로직 번호 누락 · 중복 정정</t>
  </si>
  <si>
    <t>표기 정정</t>
  </si>
  <si>
    <t>안내 문서만 미충족일 때 G-04 단독 재실행 명시</t>
  </si>
  <si>
    <t>7_재수행매핑 정합</t>
  </si>
  <si>
    <t>입출력 5행 신설 (v1.5 누락분)</t>
  </si>
  <si>
    <t>2번 시트 정합</t>
  </si>
  <si>
    <t>채팅 방식 변수 6행 삭제, companyInfo · categoryReason · referenceSummary 출력 추가</t>
  </si>
  <si>
    <t>2번 시트 정합, 기획서 4-1</t>
  </si>
  <si>
    <t>G-02a · G-02b</t>
  </si>
  <si>
    <t>2번 시트에 맞춤 — G-02a artifactScore 삭제, 누락 변수 추가, userAction 값 '재작성'으로 통일, 예시값 정정</t>
  </si>
  <si>
    <t>T-C3 · T-W1 · T-W3 · T-C4 · G-01</t>
  </si>
  <si>
    <t>supplement → companyInfo, T-C3 referenceSummary 추가, T-C4 userMessage · prototype 설명 정정</t>
  </si>
  <si>
    <t>정합성</t>
  </si>
  <si>
    <t>T-V1을 T-B1 앞으로, G-04를 실행 순서 위치에 배치</t>
  </si>
  <si>
    <t>입출력 열 색</t>
  </si>
  <si>
    <t>G-02b · G-03 입력 행이 출력 색으로 칠해져 있던 것을 정정</t>
  </si>
  <si>
    <t>서식 정정</t>
  </si>
  <si>
    <t>Null 허용 열</t>
  </si>
  <si>
    <t>v1.2 이후 추가된 행의 Y/N 반전 기입 정정</t>
  </si>
  <si>
    <t>File · AttemptRef · Excerpt</t>
  </si>
  <si>
    <t>신설 — 참조만 있고 정의가 없었다</t>
  </si>
  <si>
    <t>scoreHistory · adoptedAttempt · settingsSnapshot · rubricVersion 추가 — 다른 시트가 참조하던 값</t>
  </si>
  <si>
    <t>기획서 5-5, 5-6</t>
  </si>
  <si>
    <t>배분을 kind별로 명시</t>
  </si>
  <si>
    <t>기획서 5-4</t>
  </si>
  <si>
    <t>'작성대기' 상태 추가 (복귀 화면 5)</t>
  </si>
  <si>
    <t>기획서 4-7</t>
  </si>
  <si>
    <t>SlotCheckResult · Message</t>
  </si>
  <si>
    <t>사용 중지 표기</t>
  </si>
  <si>
    <t>기획서 4-1</t>
  </si>
  <si>
    <t>unit에 '안내 문서' 추가</t>
  </si>
  <si>
    <t>음영</t>
  </si>
  <si>
    <t>타입 첫 행에만 음영을 두는 규칙으로 통일</t>
  </si>
  <si>
    <t>R-6 · R-7</t>
  </si>
  <si>
    <t>호출 주체 정정, userAction 값 '재작성'으로 통일</t>
  </si>
  <si>
    <t>R-8 · R-9 · R-10</t>
  </si>
  <si>
    <t>연결 Task 셀 색을 조율 색으로 정정</t>
  </si>
  <si>
    <t>5개 코드 · E-G2-LIMIT</t>
  </si>
  <si>
    <t>사용자 노출 문구 · 시스템 처리 열 정렬, E-G2-LIMIT 처리를 최고점 채택으로 통일</t>
  </si>
  <si>
    <t>E-C1-INTENT · E-G1-MISSING</t>
  </si>
  <si>
    <t>되묻기 폐지 반영 (E-C1-INTENT 사용 중지)</t>
  </si>
  <si>
    <t>코드 검증 행</t>
  </si>
  <si>
    <t>카테고리 구분 표기, 안내 문서 행 신설(G-04), 판정 위치 정정(문서층 · 시장 수치)</t>
  </si>
  <si>
    <t>정합성, 기획서 5-4, 5-5</t>
  </si>
  <si>
    <t>옛 이름 G-02 · '미달확정' 정정, 안내 문서 재실행 설명 추가</t>
  </si>
  <si>
    <t>v1.1 구간</t>
  </si>
  <si>
    <t>구간 제목 행 추가</t>
  </si>
  <si>
    <t>전 시트</t>
  </si>
  <si>
    <t>행 높이</t>
  </si>
  <si>
    <t>내용이 한 줄 이상 가려지던 행의 높이를 내용에 맞춤</t>
  </si>
  <si>
    <t>※ v1.6 주요 변경 — 기획서 v1.8의 사전 정보 입력 확대와 공고 매칭 변경(첫 조회 10건 · 최대 20건, 하이브리드 서치, 가산점 근거 자료)을 반영했다. 함께 v1.5까지 남아 있던 시트 간 불일치(3번 시트 G-04 누락, T-C1 · G-02a · G-02b 입출력)와 폐지된 되묻기 · 보충 입력 잔재를 정리하고, 4번 시트 Null 허용 열의 반전 기입을 바로잡았다. 마이페이지는 Agent 기능이 아니므로 반영하지 않았다.</t>
  </si>
  <si>
    <t>※ 미확정 (v1.6) — 자격 게이트 대조 항목에 생년월일 · 희망 지역 · 주 업종 · 첫 창업 여부를 넣을지, 매칭에서 지역 · 업종을 필터로 쓸지 순위에 반영할지, 가산점 정보의 수집 · 정형화 방식과 사용자 정보 대조 여부(담당자 협의 중). 하이브리드 서치 폴백 규칙과 fitScore 산식은 잠정. 신규 입력 항목의 필드명 · 필수 여부 · 허용값은 잠정이며 입력 항목 확정 시 갱신한다. v1.5 미확정 항목은 그대로 남는다.</t>
  </si>
  <si>
    <t>── v1.7 (2026-09-22) · 담당자 협의 답변 · 입력 항목 정리 반영 ──</t>
  </si>
  <si>
    <t>게이트 대조 항목을 유형 · 업력 · 접수기간으로 확정. 생년월일 · 지역 · 업종 · 첫 창업 여부는 대조하지 않음</t>
  </si>
  <si>
    <t>담당자 협의 2026-09-22</t>
  </si>
  <si>
    <t>G-01과 같은 내용 반영</t>
  </si>
  <si>
    <t>희망 지역 · 주 업종은 순위에만 반영. 지역 한정 공고 보완 방안 미확정 명시. 가산점 출처(공고 본문) 명시</t>
  </si>
  <si>
    <t>지역 · 업종 순위 반영(preference 입력 추가), BGE-M3 자체 구동 명시</t>
  </si>
  <si>
    <t>2_Agent기능정의 · 5_규칙모듈 · 6_오류코드</t>
  </si>
  <si>
    <t>T-C2 · R-3 · E-C2-EMBED</t>
  </si>
  <si>
    <t>폴백 규칙 중 임베딩 오류 → BM25 결과 제시를 확정. 나머지 규칙은 잠정 유지</t>
  </si>
  <si>
    <t>companyInfo 설명(필터 · 순위 구분), fallbackMode 확정 · 잠정 구분</t>
  </si>
  <si>
    <t>BGE-M3 자체 구동 명시. 가산점은 공고 본문에서 가져오며, LLM 채점이 확정되면 규칙 모듈 밖에서 정의해야 함을 명시</t>
  </si>
  <si>
    <t>Announcement · EligibilityRule</t>
  </si>
  <si>
    <t>bonusInfo 출처 · 검토 상태, summaryEmbedding 구동 방식, 게이트 비대상 필드 설명 갱신</t>
  </si>
  <si>
    <t>마이페이지 필수(신청자 유형 · 대표자 3항목 · 희망 지역 · 주 업종 · 대표자 이력 · 팀 구성원) · 선택(보유 인증 · 가입 확인서), 프로젝트 작성란 필수(개발 기간 · 자기부담금 · 예비창업자 정보 · 채용 계획 · 장비 · 협력 기관) 반영. representativeCareer · developmentPeriod 추가</t>
  </si>
  <si>
    <t>입력 항목 정리 2026-09-22</t>
  </si>
  <si>
    <t>profileCompleted 추가 — 최초 로그인 시 프로필 작성 필수</t>
  </si>
  <si>
    <t>신설 — 프로필이 없으면 새 실행을 시작할 수 없음</t>
  </si>
  <si>
    <t>T-C1 · T-C3 · T-W1</t>
  </si>
  <si>
    <t>입력 경로(마이페이지 + 프로젝트 작성란) 명시. 팀 구성원 · 대표자 이력 필수화에 따라 '팀 경력 미입력 시 빈 자리' 규칙을 '입력에 없는 경력을 지어내지 않음'으로 변경</t>
  </si>
  <si>
    <t>T-C1 · T-C3 · T-W1 · T-W3</t>
  </si>
  <si>
    <t>formInput · companyInfo 설명을 새 입력 구조에 맞춤</t>
  </si>
  <si>
    <t>버전 · 출처 · 작성 기준일</t>
  </si>
  <si>
    <t>※ v1.7 주요 변경 — 담당자 협의 답변(2026-09-22)을 반영해 자격 게이트는 유형 · 업력 · 접수기간 대조로 유지하고, 희망 지역 · 주 업종은 매칭 순위에만 반영하도록 정했다. 가산점 정보는 공고 본문에서 가져오고, BGE-M3는 자체 환경에서 구동한다. 입력 항목 정리에 따라 최초 로그인 시 마이페이지 프로필 작성을 필수로 하고, 팀 구성원 · 대표자 이력 · 개발 기간 등을 필수 입력으로 바꿨다. 담당자 답변은 1차 의견이며 전부 확정된 것은 아니다.</t>
  </si>
  <si>
    <t>※ 미확정 (v1.7) — 가산점 채점 방식(LLM 채점 검토 중)과 저장 구조, 사용자 정보 대조 여부. 지역 · 업종의 순위 반영 방식과 지역 한정 공고 보완 방안. 폴백 규칙 중 BM25 오류 · 두 검색 모두 오류의 처리, fitScore 산식과 폴백 중 적합도 표시, RRF 상수 k. 개발 기간의 형식과 쓰임, 예비창업자 정보의 추가 항목, 성별 · 인증 허용값. 목록 외 기존 항목(아이디어 설명 · 수익모델 단가 · 설립일자 · 사업자등록번호 · 첨부)의 입력 화면. 프로필 필수화와 기획서 6-7의 프로필 직접 삭제 규칙의 관계.</t>
  </si>
  <si>
    <t>── v1.8 (2026-09-22) · 기획서 v1.9 반영 ──</t>
  </si>
  <si>
    <t>profileCompleted(bool) → profileCount(int 0~3). 프로필은 계정당 최대 3개, 0이면 새 실행 제한</t>
  </si>
  <si>
    <t>기획서 v1.9 (4-2 ⓪-1, 6-7)</t>
  </si>
  <si>
    <t>프로필을 모두 삭제한 경우 포함, 발생 지점에 R-9 추가, 근거를 4-7 E10으로 갱신</t>
  </si>
  <si>
    <t>기획서 v1.9 (4-7 E10, 6-7)</t>
  </si>
  <si>
    <t>프로필 없음 차단(Failure ④), 작업 완료 알림 생성, notification 출력 추가</t>
  </si>
  <si>
    <t>기획서 v1.9 (4-2 ⑧, 4-7 E10)</t>
  </si>
  <si>
    <t>신설 — 검증-1 · 검증-2 · 검수가 끝나면 보내는 화면 안 작업 완료 알림</t>
  </si>
  <si>
    <t>기획서 v1.9 (4-2 ⑧)</t>
  </si>
  <si>
    <t>2_Agent기능정의 · 3_입출력변수명세</t>
  </si>
  <si>
    <t>'내 정보 불러오기'(프로필 최대 3개 중 선택)와 프로필 삭제 시 제한 반영</t>
  </si>
  <si>
    <t>기획서 v1.9 (4-2 ⓪-1)</t>
  </si>
  <si>
    <t>아이디어 설명 · 수익모델 단가 · 설립일자 · 사업자등록번호 · 첨부의 입력 위치 명시</t>
  </si>
  <si>
    <t>기획서 v1.9 (4-2 ①, 4-7)</t>
  </si>
  <si>
    <t>4_타입정의 · 5_규칙모듈</t>
  </si>
  <si>
    <t>CompanyInfo · EligibilityRule · R-3</t>
  </si>
  <si>
    <t>맞춤 공고 알림이 향후 도입이 되어 '알림 대상 필터' · '알림 기능' 서술 삭제</t>
  </si>
  <si>
    <t>기획서 v1.9 (4-2 ⑧-1, 5-3, 6-3)</t>
  </si>
  <si>
    <t>2_Agent기능정의 · 6_오류코드</t>
  </si>
  <si>
    <t>T-C2 · E-C2-NOMATCH</t>
  </si>
  <si>
    <t>후보 0건 안내에서 관심 공고 등록 삭제</t>
  </si>
  <si>
    <t>기획서 v1.9 (4-2 ⑧-1, 4-7 E2)</t>
  </si>
  <si>
    <t>'알림수신'은 메일 알림(향후 도입) 수신 동의임을 명시</t>
  </si>
  <si>
    <t>기획서 v1.9 (4-2 ⓪, 6-7)</t>
  </si>
  <si>
    <t>2_Agent기능정의 · 4_타입정의 · 5_규칙모듈 · 6_오류코드</t>
  </si>
  <si>
    <t>G-01 · T-C2 · R-2 · R-3 · EligibilityRule · E-C2-EMBED</t>
  </si>
  <si>
    <t>v1.7의 담당자 협의 반영분이 기획서에 들어가 근거를 기획서 절로 바꿈</t>
  </si>
  <si>
    <t>기획서 v1.9 (4-2, 5-1, 5-3)</t>
  </si>
  <si>
    <t>출처를 기획서 v1.9로 갱신, 버전 · 작성 기준일</t>
  </si>
  <si>
    <t>기획서 v1.9</t>
  </si>
  <si>
    <t>※ v1.8 주요 변경 — 기획서 v1.9를 반영했다. 프로필은 계정당 최대 3개이며 '내 정보 불러오기'로 골라 폼을 채우고, 프로필이 하나도 없으면 새 실행을 제한한다. 맞춤 공고 알림은 향후 도입이 되어 관련 서술을 걷어 냈고, 검증-1 · 검증-2 · 검수가 끝나면 화면 안 작업 완료 알림을 보내도록 R-9와 Notification 타입을 정의했다. v1.7의 담당자 협의 반영분은 근거를 기획서 절로 바꿨다.</t>
  </si>
  <si>
    <t>※ 미확정 (v1.8) — 가산점 채점 방식(LLM 채점 검토 중)과 저장 구조, 사용자 정보 대조 여부. 지역 · 업종의 순위 반영 방식과 지역 한정 공고 보완 방안. 폴백 규칙 중 BM25 오류 · 두 검색 모두 오류의 처리, fitScore 산식과 폴백 중 적합도 표시, RRF 상수 k. 개발 기간의 형식과 쓰임, 예비창업자 정보의 추가 항목, 성별 · 인증 허용값. Notification 필드는 잠정이며 읽음 처리와 보관 기간은 미정.</t>
  </si>
  <si>
    <t>── v1.9 (2026-09-23) · 기획서 v1.10 반영 (오케스트레이션) ──</t>
  </si>
  <si>
    <t>용어</t>
  </si>
  <si>
    <t>v1.8에서 사용자 요청을 뜻하던 '재수행' → '재작성', 검수의 '문단 재시도' → '재수행'. '재제작'은 버튼 문구로만 쓴다. 재시도(호출 재전송) · 재개(시간을 두고 실패 지점부터) · 재채점을 따로 정의</t>
  </si>
  <si>
    <t>기획서 v1.10 (5-6, 5-8)</t>
  </si>
  <si>
    <t>재작성 · 재수행 · 재시도 · 재개 · 재채점 정의로 교체. 상한을 넘긴 뒤 확정 동작을 적는 원칙은 유지</t>
  </si>
  <si>
    <t>기획서 v1.10 (5-8)</t>
  </si>
  <si>
    <t>신설 — 횟수와 간격 값은 이 표에만 적고 다른 시트는 이름으로 부른다. 구현하면서 정할 값 4건 포함. C열 너비 조정</t>
  </si>
  <si>
    <t>머리말 · 주의 · 시트 설명</t>
  </si>
  <si>
    <t>버전 · 출처(기획서 v1.10) · 규칙모듈 11종 · 7번 시트 이름과 설명 갱신</t>
  </si>
  <si>
    <t>기획서 v1.10</t>
  </si>
  <si>
    <t>LLM · 검색 호출 행</t>
  </si>
  <si>
    <t>호출 실패 · 응답 지연 · 응답 형식 오류 → 재시도 → 재개 → 실패(R-11)를 H · L열에 명시</t>
  </si>
  <si>
    <t>T-S1 · T-S2 · T-W1 · T-W2 · T-W3 · T-B1 · T-B2</t>
  </si>
  <si>
    <t>reworkInput(기존 결과 + 문제가 된 내용)과 check(검사 결과) 추가. T-S2 · T-W1 · T-W3 · T-B2에 instruction 추가</t>
  </si>
  <si>
    <t>기획서 v1.10 (5-6)</t>
  </si>
  <si>
    <t>T-S1 · T-S2</t>
  </si>
  <si>
    <t>사용자 재작성 대상에서 제외. 검사 미통과 재수행 뒤 기존 확정 동작</t>
  </si>
  <si>
    <t>기획서 v1.10 (4-7, 5-6)</t>
  </si>
  <si>
    <t>재작성 단위를 묶음으로. 입력에 없는 경력 · 자금 합계 초과가 재수행 뒤에도 남으면 서술을 지우고 알림(예외에 추가)</t>
  </si>
  <si>
    <t>기획서 v1.10 (4-6, 5-6)</t>
  </si>
  <si>
    <t>T-W2 · T-W3 · T-B1 · T-B2</t>
  </si>
  <si>
    <t>재작성 단위(묶음) · 검사 미통과 재수행 뒤 처리 정리. T-B2의 '인포그래픽 없이 진행' 폐지</t>
  </si>
  <si>
    <t>T-B1 · G-02b</t>
  </si>
  <si>
    <t>종합 평가에서 계획서를 재작성하면 HTML에도 반영하고 두 층을 재채점. 되돌릴 때 HTML도 함께. 이 반영은 재작성 횟수를 쓰지 않음</t>
  </si>
  <si>
    <t>재시도 뒤 재개 없이 다시 시도 안내. companyInfo는 폼 값을 코드로 옮김</t>
  </si>
  <si>
    <t>기획서 v1.10 (4-6, 5-8)</t>
  </si>
  <si>
    <t>T-C2 · T-V2</t>
  </si>
  <si>
    <t>재시도를 다 쓰면 대체 경로(검색 폴백 · 문자열 대조). 화면 8의 재작성 목록은 T-V2 체크리스트 pass / non-pass로. T-V2 L③(T-S1 재수행 요청)을 방어용 기록으로</t>
  </si>
  <si>
    <t>기획서 v1.10 (4-7, 5-8)</t>
  </si>
  <si>
    <t>이번 범위에서는 양식을 신청자 유형으로 고름(최종 목표는 공고별 서술 형식). 양식 정보 누락은 방어용</t>
  </si>
  <si>
    <t>기획서 v1.10 (4-4, 6-4)</t>
  </si>
  <si>
    <t>T-P1 · T-P2</t>
  </si>
  <si>
    <t>검수 단위를 문장으로, 재시도 → 재수행. 호출 실패 문장은 원문 유지, 실패 비율이 높으면 재개. T-P2 입력에 formatFindings · formatSpec, 출력에 keptReason 추가</t>
  </si>
  <si>
    <t>기획서 v1.10 (5-7)</t>
  </si>
  <si>
    <t>2_Agent기능정의 · 3_입출력변수명세 · 5_규칙모듈 · 6_오류코드</t>
  </si>
  <si>
    <t>T-P2 · R-5 · E-P2-TOKEN</t>
  </si>
  <si>
    <t>retryHint · retryCount · finalRetryCount · retryLimit → redoHint · redoCount · finalRedoCount · redoLimit. 재시도(Run.retryCount)와 이름이 겹치지 않게 재수행에 맞춤</t>
  </si>
  <si>
    <t>용어 통일</t>
  </si>
  <si>
    <t>retryLimit · attempt → reworkUsage. selectedOrders(G-02a) · checks 추가, nextAction '재수행권유' → '재작성권유'. 전후 비교, 재작성 실패 시 되돌림. G-02b L③(T-S1 포함 시) 삭제</t>
  </si>
  <si>
    <t>referenceSummary · numericTokens 입력 추가 — 첨부 인용 수치와 T-S2 수치 후보를 받는 곳이 없었다</t>
  </si>
  <si>
    <t>기획서 4-6, 5-7</t>
  </si>
  <si>
    <t>계획서 파일 조립과 합치기 단계 명시. 진행률 전달 서술을 R-9로 옮김</t>
  </si>
  <si>
    <t>기획서 v1.10 (7-1)</t>
  </si>
  <si>
    <t>value를 step · progress 두 축으로 교체, screenStatus(계산값) 추가, resumeStep 갱신(재작성 중 요청 화면, 표현 검수 10). isWaitingUser 삭제(progress='사용자대기'). v1.8의 value 11개는 두 축의 조합으로 옮긴다(예: 작성대기 = 계획서작성 + 사용자대기, 검수중 = 표현검수 + 실행)</t>
  </si>
  <si>
    <t>settingsSnapshot · reworkUsage · reworkScreen · currentTask · retryCount · resumeCount · nextResumeAt · lastErrorKind(오류 종류 신설) 추가</t>
  </si>
  <si>
    <t>kind에 '실패' 추가, 한글명 '작업 알림', targetStep null 허용(실행 실패는 이어하기 목록), failureScope 추가</t>
  </si>
  <si>
    <t>기획서 v1.10 (4-2 ⑧, 5-8)</t>
  </si>
  <si>
    <t>AttemptRef · ScoreReport</t>
  </si>
  <si>
    <t>시도마다 결과 버전을 가리키고(trigger · bundleId), scoreHistory · adoptedAttempt → comparisons, attempt → reworkUsage. docScore · artifactScore를 점수 객체로. notices 추가</t>
  </si>
  <si>
    <t>재작성 지시로. unit에 '묶음' 추가, instructionDelta는 문제가 된 내용</t>
  </si>
  <si>
    <t>Paragraph → Sentence · PlanSection · FormatFinding · ProofreadLog · TokenCheckResult</t>
  </si>
  <si>
    <t>문장 단위, 제목 표시(isTitle), 원문 유지 사유를 검증 실패 · 호출 실패로 나눠 기록</t>
  </si>
  <si>
    <t>기획서 v1.10 (5-7, 6-6)</t>
  </si>
  <si>
    <t>FormSpec · EvalItem · Rubric · Announcement · TaskInstruction</t>
  </si>
  <si>
    <t>이번 범위에서는 양식을 신청자 유형으로 고른다(최종 목표는 공고별 서술 형식). FormSpec.applicantTypes 추가</t>
  </si>
  <si>
    <t>ReworkInput · CheckResult · BundleUsage · ReworkComparison</t>
  </si>
  <si>
    <t>신설 — 재작성 · 재수행 입력, 검사 결과, 묶음별 재작성 사용 기록, 재작성 전후 비교</t>
  </si>
  <si>
    <t>문장 단위 재수행, 조기 중단 유지, 비교 기준은 G-03 보호 토큰 목록</t>
  </si>
  <si>
    <t>재작성 규칙으로 교체(묶음 · 횟수 · 입력 · 전후 비교 · 실패 시 되돌림 · 의존과 전파). T-S1 포함 규칙 삭제. 화면 8의 재작성도 같은 규칙</t>
  </si>
  <si>
    <t>referenceSummary · numericTokens 입력 추가</t>
  </si>
  <si>
    <t>기획서 4-6</t>
  </si>
  <si>
    <t>상태 모델, 1건 제한 대상, 복귀 화면, 설정 고정, 진행률 전달(T-C4에서 옮김), 실패 알림, 실패 · 중단 처리, 공고 마감 안내</t>
  </si>
  <si>
    <t>신설 — 호출 실패 처리(재시도 · 재개). 모든 Task가 같이 쓰는 규칙이라 R-9에서 뗐다</t>
  </si>
  <si>
    <t>'재제작' → '재작성'</t>
  </si>
  <si>
    <t>E-C1-TIMEOUT · E-C3-FORM · E-B1-ENTRY · E-B1-DEP · E-V2-NOFEATURE · E-P2-TOKEN · E-P2-RETRY</t>
  </si>
  <si>
    <t>새 규칙에 맞춤</t>
  </si>
  <si>
    <t>E-G2-LIMIT · E-G2-UNREACHABLE · E-RUN-CONCURRENT</t>
  </si>
  <si>
    <t>문구 변경(묶음 기회 소진, 계획서 기회 없음, 중단 시 결과 열람 불가)</t>
  </si>
  <si>
    <t>기획서 v1.10 (4-7 E5 · E8 · E9)</t>
  </si>
  <si>
    <t>E-RUN-FAIL · E-RUN-ROLLBACK · E-RUN-CLOSED · E-W1-REMOVED</t>
  </si>
  <si>
    <t>신설</t>
  </si>
  <si>
    <t>기획서 v1.10 (4-7 E11~E13, 5-6)</t>
  </si>
  <si>
    <t>시트 전체</t>
  </si>
  <si>
    <t>시트 이름 변경(7_재수행매핑 → 7_재작성·재수행매핑), 사용자 재작성과 검사 미통과 재수행으로 나눔, 주석 갱신, B열 너비 조정</t>
  </si>
  <si>
    <t>열 너비</t>
  </si>
  <si>
    <t>G · H열을 80으로 넓힘 — R-6 · R-9가 Excel 행 높이 한도(409pt)를 넘어 셀에서 잘리지 않게 한다</t>
  </si>
  <si>
    <t>※ v1.9 주요 변경 — 오케스트레이션 규칙을 정리했다. 재작성(사용자 요청) · 재수행(검사 미통과) · 재시도(호출 재전송) · 재개(시간을 두고 실패 지점부터)를 나누고, 횟수와 간격은 1_개요의 설정값 표에만 적는다. 재작성은 묶음 단위이며 세 화면이 같은 횟수를 쓰고, 전후 점수 중 높은 쪽을 남기며, 실패하면 되돌려 기회를 돌려준다. 검사를 통과하지 못한 결과는 재수행 뒤 그대로 보내되 여섯 곳은 확정 동작을 따른다. 실행 상태를 단계와 진행 상태 두 축으로 바꾸고 실패 · 중단 처리와 호출 실패 처리(R-11)를 정의했다. 검수 단위는 문장이 되었고, 양식은 공고별 서술 형식 대응을 최종 목표로 두되 이번 범위에서는 신청자 유형으로 고른다.</t>
  </si>
  <si>
    <t>※ 미확정 (v1.9) — 가산점 채점 방식(LLM 채점 검토 중)과 저장 구조, 사용자 정보 대조 여부. 지역 · 업종의 순위 반영 방식과 지역 한정 공고 보완 방안. 폴백 규칙 중 BM25 오류 · 두 검색 모두 오류의 처리, fitScore 산식과 폴백 중 적합도 표시, RRF 상수 k. 개발 기간의 형식과 쓰임, 예비창업자 정보의 추가 항목, 성별 · 인증 허용값. Notification 읽음 처리와 보관 기간. v1.5 미확정 중 재수행 상한을 세는 단위(→ 묶음마다), 의존 전파 범위(→ R-6), 검수 문단 재시도 상한 기본값(→ 검수 재수행 횟수)은 이번에 정했고, ScoreReport.carriedOverFrom 추가 여부와 원페이지 최소 글자 크기 하한 · 래스터 면적 허용 비율은 남는다. 1_개요 설정값 표의 구현하면서 정할 값 4건(제한 시간, 재시도 간격, 검수 동시 처리 수, 검수 실패 비율 기준과 판단 시점). 전략 · 작성 · 검증-1 설계가 정리된 뒤 정할 것 — 호출 단위(함수로 할지), 계획서 묶음 정의와 묶음 · 함수 · 평가 항목 매핑, 재작성 범위(작성 → 검증-1 → 조립만 다시 돌릴지), 묶음 pass / non-pass를 정하는 방식, 계획서 파일 조립 시점과 형식(그래프 · 표를 이미지로 받을지 데이터로 받을지), 모델 설정 단위, 외부 자료 수집 실패 시 처리, 이에 따른 2번 시트 행 구성. 종합 평가 계획서 재작성의 HTML 반영 방법, 문서층 점수의 산출 주체, 웹개발 코드 검증 2번의 재작성 대상, 안내 문서 미충족을 재작성 목록에 올릴지.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</si>
</sst>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charset val="1"/>
    </font>
    <font>
      <b/>
      <sz val="15"/>
      <color rgb="FF2F4F6F"/>
      <name val="맑은 고딕"/>
      <family val="3"/>
      <charset val="129"/>
    </font>
    <font>
      <sz val="11"/>
      <color theme="1"/>
      <name val="맑은 고딕"/>
      <family val="3"/>
      <charset val="129"/>
    </font>
    <font>
      <sz val="10"/>
      <name val="맑은 고딕"/>
      <family val="3"/>
      <charset val="129"/>
    </font>
    <font>
      <sz val="10"/>
      <name val="맑은 고딕"/>
      <family val="3"/>
      <charset val="129"/>
    </font>
    <font>
      <b/>
      <sz val="10"/>
      <name val="맑은 고딕"/>
      <family val="3"/>
      <charset val="129"/>
    </font>
    <font>
      <sz val="10"/>
      <name val="맑은 고딕"/>
      <family val="2"/>
      <charset val="1"/>
    </font>
    <font>
      <b/>
      <sz val="10"/>
      <color rgb="FFFFFFFF"/>
      <name val="맑은 고딕"/>
      <family val="3"/>
      <charset val="129"/>
    </font>
    <font>
      <sz val="11"/>
      <color theme="1"/>
      <name val="맑은 고딕"/>
      <family val="2"/>
      <charset val="1"/>
    </font>
    <font>
      <i/>
      <sz val="9"/>
      <color rgb="FF666666"/>
      <name val="맑은 고딕"/>
      <family val="3"/>
      <charset val="129"/>
    </font>
    <font>
      <sz val="9"/>
      <name val="맑은 고딕"/>
      <family val="3"/>
      <charset val="129"/>
    </font>
    <font>
      <b/>
      <sz val="10"/>
      <color rgb="FFFFFFFF"/>
      <name val="맑은 고딕"/>
      <family val="2"/>
      <charset val="1"/>
    </font>
    <font>
      <b/>
      <sz val="10"/>
      <name val="맑은 고딕"/>
      <family val="3"/>
      <charset val="129"/>
    </font>
    <font>
      <sz val="10"/>
      <name val="맑은 고딕"/>
      <family val="3"/>
      <charset val="129"/>
    </font>
    <font>
      <b/>
      <sz val="10"/>
      <color rgb="FFFFFFFF"/>
      <name val="맑은 고딕"/>
      <family val="3"/>
      <charset val="129"/>
    </font>
    <font>
      <i/>
      <sz val="9"/>
      <color rgb="FF666666"/>
      <name val="맑은 고딕"/>
      <family val="3"/>
      <charset val="129"/>
    </font>
    <font>
      <sz val="11"/>
      <color theme="1"/>
      <name val="맑은 고딕"/>
      <family val="3"/>
      <charset val="129"/>
    </font>
    <font>
      <sz val="8"/>
      <name val="돋움"/>
      <family val="3"/>
      <charset val="129"/>
    </font>
    <font>
      <b/>
      <sz val="10"/>
      <color rgb="FFFF0000"/>
      <name val="맑은 고딕"/>
      <family val="3"/>
      <charset val="129"/>
    </font>
  </fonts>
  <fills count="18">
    <fill>
      <patternFill patternType="none"/>
    </fill>
    <fill>
      <patternFill patternType="gray125"/>
    </fill>
    <fill>
      <patternFill patternType="solid">
        <fgColor rgb="FFDCE6F1"/>
        <bgColor rgb="FFEAF0F6"/>
      </patternFill>
    </fill>
    <fill>
      <patternFill patternType="solid">
        <fgColor rgb="FF2F4F6F"/>
        <bgColor rgb="FF333333"/>
      </patternFill>
    </fill>
    <fill>
      <patternFill patternType="solid">
        <fgColor rgb="FFFFF4E6"/>
        <bgColor rgb="FFFFFBE6"/>
      </patternFill>
    </fill>
    <fill>
      <patternFill patternType="solid">
        <fgColor rgb="FFEAF6EA"/>
        <bgColor rgb="FFF2F2F2"/>
      </patternFill>
    </fill>
    <fill>
      <patternFill patternType="solid">
        <fgColor rgb="FFEAF0FA"/>
        <bgColor rgb="FFEAF0F6"/>
      </patternFill>
    </fill>
    <fill>
      <patternFill patternType="solid">
        <fgColor rgb="FFF3EAFA"/>
        <bgColor rgb="FFF2F2F2"/>
      </patternFill>
    </fill>
    <fill>
      <patternFill patternType="solid">
        <fgColor rgb="FFFDEDED"/>
        <bgColor rgb="FFFFF4E6"/>
      </patternFill>
    </fill>
    <fill>
      <patternFill patternType="solid">
        <fgColor rgb="FFFFFBE6"/>
        <bgColor rgb="FFFFF4E6"/>
      </patternFill>
    </fill>
    <fill>
      <patternFill patternType="solid">
        <fgColor rgb="FFF2F2F2"/>
        <bgColor rgb="FFEAF0F6"/>
      </patternFill>
    </fill>
    <fill>
      <patternFill patternType="solid">
        <fgColor rgb="FFEAF0F6"/>
        <bgColor rgb="FFEAF0F6"/>
      </patternFill>
    </fill>
    <fill>
      <patternFill patternType="solid">
        <fgColor rgb="FFFFF4E6"/>
        <bgColor rgb="FFFFF4E6"/>
      </patternFill>
    </fill>
    <fill>
      <patternFill patternType="solid">
        <fgColor rgb="FFEAF0FA"/>
        <bgColor rgb="FFEAF0FA"/>
      </patternFill>
    </fill>
    <fill>
      <patternFill patternType="solid">
        <fgColor rgb="FFFDEDED"/>
        <bgColor rgb="FFFDEDED"/>
      </patternFill>
    </fill>
    <fill>
      <patternFill patternType="solid">
        <fgColor rgb="FFF3EAFA"/>
        <bgColor rgb="FFF3EAFA"/>
      </patternFill>
    </fill>
    <fill>
      <patternFill patternType="solid">
        <fgColor rgb="FFEAF6EA"/>
        <bgColor rgb="FFEAF6EA"/>
      </patternFill>
    </fill>
    <fill>
      <patternFill patternType="solid">
        <fgColor rgb="FFFFFBE6"/>
        <bgColor rgb="FFFFFBE6"/>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86">
    <xf numFmtId="0" fontId="0" fillId="0" borderId="0" xfId="0"/>
    <xf numFmtId="0" fontId="0" fillId="0" borderId="0" xfId="0" applyAlignment="1">
      <alignment vertical="center"/>
    </xf>
    <xf numFmtId="0" fontId="1" fillId="0" borderId="0" xfId="0" applyFont="1" applyAlignment="1">
      <alignment vertical="center"/>
    </xf>
    <xf numFmtId="0" fontId="2" fillId="0" borderId="0" xfId="0" applyFont="1"/>
    <xf numFmtId="0" fontId="2" fillId="0" borderId="0" xfId="0" applyFont="1" applyAlignment="1">
      <alignment vertical="center"/>
    </xf>
    <xf numFmtId="0" fontId="4" fillId="0" borderId="0" xfId="0" applyFont="1" applyAlignment="1">
      <alignment horizontal="left" vertical="center" wrapText="1"/>
    </xf>
    <xf numFmtId="0" fontId="5" fillId="0" borderId="0" xfId="0" applyFont="1" applyAlignment="1">
      <alignment vertical="center"/>
    </xf>
    <xf numFmtId="0" fontId="6" fillId="0" borderId="0" xfId="0" applyFont="1" applyAlignment="1">
      <alignment horizontal="left" vertical="center" wrapText="1"/>
    </xf>
    <xf numFmtId="0" fontId="4" fillId="0" borderId="0" xfId="0" applyFont="1" applyAlignment="1">
      <alignment vertical="center"/>
    </xf>
    <xf numFmtId="0" fontId="5" fillId="2" borderId="0" xfId="0" applyFont="1" applyFill="1" applyAlignment="1">
      <alignment vertical="center"/>
    </xf>
    <xf numFmtId="0" fontId="7" fillId="3"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5" fillId="2" borderId="1" xfId="0" applyFont="1" applyFill="1" applyBorder="1" applyAlignment="1">
      <alignment horizontal="center" vertical="center" wrapText="1"/>
    </xf>
    <xf numFmtId="0" fontId="9" fillId="0" borderId="0" xfId="0" applyFont="1" applyAlignment="1">
      <alignment vertical="center"/>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10" fillId="0" borderId="1" xfId="0" applyFont="1" applyBorder="1" applyAlignment="1">
      <alignment horizontal="left" vertical="center" wrapText="1"/>
    </xf>
    <xf numFmtId="0" fontId="5"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5" fillId="9"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10" fillId="10" borderId="1" xfId="0" applyFont="1" applyFill="1" applyBorder="1" applyAlignment="1">
      <alignment horizontal="left" vertical="center" wrapText="1"/>
    </xf>
    <xf numFmtId="0" fontId="4" fillId="10" borderId="1" xfId="0" applyFont="1" applyFill="1" applyBorder="1" applyAlignment="1">
      <alignment horizontal="left" vertical="center" wrapText="1"/>
    </xf>
    <xf numFmtId="0" fontId="4" fillId="10" borderId="1" xfId="0" applyFont="1" applyFill="1" applyBorder="1" applyAlignment="1">
      <alignment horizontal="center" vertical="center" wrapText="1"/>
    </xf>
    <xf numFmtId="0" fontId="5" fillId="0" borderId="1" xfId="0" applyFont="1" applyBorder="1" applyAlignment="1">
      <alignment horizontal="left" vertical="center" wrapText="1"/>
    </xf>
    <xf numFmtId="0" fontId="4" fillId="0" borderId="1" xfId="0" applyFont="1" applyBorder="1" applyAlignment="1">
      <alignment vertical="center"/>
    </xf>
    <xf numFmtId="0" fontId="6" fillId="0" borderId="1" xfId="0" applyFont="1" applyBorder="1" applyAlignment="1">
      <alignment horizontal="left" vertical="center" wrapText="1"/>
    </xf>
    <xf numFmtId="0" fontId="5" fillId="2" borderId="1" xfId="0" applyFont="1" applyFill="1" applyBorder="1" applyAlignment="1">
      <alignment horizontal="left" vertical="center" wrapText="1"/>
    </xf>
    <xf numFmtId="0" fontId="10" fillId="2"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5"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4" fillId="4"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3" fillId="0" borderId="1" xfId="0" applyFont="1" applyBorder="1" applyAlignment="1">
      <alignment horizontal="center" vertical="center" wrapText="1"/>
    </xf>
    <xf numFmtId="0" fontId="12" fillId="0" borderId="0" xfId="0" applyFont="1" applyAlignment="1">
      <alignment vertical="center"/>
    </xf>
    <xf numFmtId="0" fontId="13" fillId="0" borderId="0" xfId="0" applyFont="1" applyAlignment="1">
      <alignment horizontal="left" vertical="center" wrapText="1"/>
    </xf>
    <xf numFmtId="0" fontId="12" fillId="2" borderId="0" xfId="0" applyFont="1" applyFill="1" applyAlignment="1">
      <alignment vertical="center"/>
    </xf>
    <xf numFmtId="0" fontId="13" fillId="0" borderId="0" xfId="0" applyFont="1" applyAlignment="1">
      <alignment vertical="center"/>
    </xf>
    <xf numFmtId="0" fontId="14" fillId="3" borderId="1" xfId="0" applyFont="1" applyFill="1" applyBorder="1" applyAlignment="1">
      <alignment horizontal="center" vertical="center" wrapText="1"/>
    </xf>
    <xf numFmtId="0" fontId="13" fillId="0" borderId="1" xfId="0" applyFont="1" applyBorder="1" applyAlignment="1">
      <alignment horizontal="left" vertical="center" wrapText="1"/>
    </xf>
    <xf numFmtId="0" fontId="12" fillId="2" borderId="1" xfId="0" applyFont="1" applyFill="1" applyBorder="1" applyAlignment="1">
      <alignment horizontal="left" vertical="center" wrapText="1"/>
    </xf>
    <xf numFmtId="0" fontId="12" fillId="0" borderId="1" xfId="0" applyFont="1" applyBorder="1" applyAlignment="1">
      <alignment horizontal="center" vertical="center" wrapText="1"/>
    </xf>
    <xf numFmtId="0" fontId="12" fillId="4"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6" borderId="1" xfId="0" applyFont="1" applyFill="1" applyBorder="1" applyAlignment="1">
      <alignment horizontal="center" vertical="center" wrapText="1"/>
    </xf>
    <xf numFmtId="0" fontId="12" fillId="7" borderId="1"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12" fillId="9" borderId="1"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13" fillId="5" borderId="1" xfId="0" applyFont="1" applyFill="1" applyBorder="1" applyAlignment="1">
      <alignment horizontal="center" vertical="center" wrapText="1"/>
    </xf>
    <xf numFmtId="0" fontId="13" fillId="6" borderId="1" xfId="0" applyFont="1" applyFill="1" applyBorder="1" applyAlignment="1">
      <alignment horizontal="center" vertical="center" wrapText="1"/>
    </xf>
    <xf numFmtId="0" fontId="13" fillId="7" borderId="1"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13" fillId="9" borderId="1" xfId="0" applyFont="1" applyFill="1" applyBorder="1" applyAlignment="1">
      <alignment horizontal="center" vertical="center" wrapText="1"/>
    </xf>
    <xf numFmtId="0" fontId="13" fillId="10" borderId="1" xfId="0" applyFont="1" applyFill="1" applyBorder="1" applyAlignment="1">
      <alignment horizontal="center" vertical="center" wrapText="1"/>
    </xf>
    <xf numFmtId="0" fontId="13" fillId="10" borderId="1" xfId="0" applyFont="1" applyFill="1" applyBorder="1" applyAlignment="1">
      <alignment horizontal="left" vertical="center" wrapText="1"/>
    </xf>
    <xf numFmtId="0" fontId="13" fillId="0" borderId="1" xfId="0" applyFont="1" applyBorder="1" applyAlignment="1">
      <alignment horizontal="center" vertical="center" wrapText="1"/>
    </xf>
    <xf numFmtId="0" fontId="13" fillId="2" borderId="1" xfId="0" applyFont="1" applyFill="1" applyBorder="1" applyAlignment="1">
      <alignment horizontal="left" vertical="center" wrapText="1"/>
    </xf>
    <xf numFmtId="0" fontId="15" fillId="0" borderId="0" xfId="0" applyFont="1" applyAlignment="1">
      <alignment vertical="center"/>
    </xf>
    <xf numFmtId="0" fontId="16" fillId="0" borderId="0" xfId="0" applyFont="1"/>
    <xf numFmtId="0" fontId="3" fillId="0" borderId="0" xfId="0" applyFont="1" applyAlignment="1">
      <alignment horizontal="left" vertical="center" wrapText="1"/>
    </xf>
    <xf numFmtId="0" fontId="18" fillId="0" borderId="0" xfId="0" applyFont="1"/>
    <xf numFmtId="0" fontId="8" fillId="0" borderId="1" xfId="0" applyFont="1" applyBorder="1" applyAlignment="1">
      <alignment horizontal="left" vertical="center" wrapText="1"/>
    </xf>
    <xf numFmtId="0" fontId="13" fillId="11" borderId="1" xfId="0" applyFont="1" applyFill="1" applyBorder="1" applyAlignment="1">
      <alignment horizontal="center" vertical="center" wrapText="1"/>
    </xf>
    <xf numFmtId="0" fontId="13" fillId="12"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4" fillId="14" borderId="1" xfId="0" applyFont="1" applyFill="1" applyBorder="1" applyAlignment="1">
      <alignment horizontal="center" vertical="center" wrapText="1"/>
    </xf>
    <xf numFmtId="0" fontId="5" fillId="13" borderId="1" xfId="0" applyFont="1" applyFill="1" applyBorder="1" applyAlignment="1">
      <alignment horizontal="center" vertical="center" wrapText="1"/>
    </xf>
    <xf numFmtId="0" fontId="5" fillId="15" borderId="1" xfId="0" applyFont="1" applyFill="1" applyBorder="1" applyAlignment="1">
      <alignment horizontal="center" vertical="center" wrapText="1"/>
    </xf>
    <xf numFmtId="0" fontId="5" fillId="12" borderId="1" xfId="0" applyFont="1" applyFill="1" applyBorder="1" applyAlignment="1">
      <alignment horizontal="center" vertical="center" wrapText="1"/>
    </xf>
    <xf numFmtId="0" fontId="4" fillId="16" borderId="1" xfId="0" applyFont="1" applyFill="1" applyBorder="1" applyAlignment="1">
      <alignment horizontal="center" vertical="center" wrapText="1"/>
    </xf>
    <xf numFmtId="0" fontId="5" fillId="16"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5" fillId="17" borderId="1" xfId="0" applyFont="1" applyFill="1" applyBorder="1" applyAlignment="1">
      <alignment horizontal="center" vertical="center" wrapText="1"/>
    </xf>
  </cellXfs>
  <cellStyles count="1">
    <cellStyle name="표준"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FFBE6"/>
      <rgbColor rgb="FFEAF6EA"/>
      <rgbColor rgb="FF660066"/>
      <rgbColor rgb="FFFF8080"/>
      <rgbColor rgb="FF0066CC"/>
      <rgbColor rgb="FFDCE6F1"/>
      <rgbColor rgb="FF000080"/>
      <rgbColor rgb="FFFF00FF"/>
      <rgbColor rgb="FFFFFF00"/>
      <rgbColor rgb="FF00FFFF"/>
      <rgbColor rgb="FF800080"/>
      <rgbColor rgb="FF800000"/>
      <rgbColor rgb="FF008080"/>
      <rgbColor rgb="FF0000FF"/>
      <rgbColor rgb="FF00CCFF"/>
      <rgbColor rgb="FFEAF0FA"/>
      <rgbColor rgb="FFEAF0F6"/>
      <rgbColor rgb="FFFFF4E6"/>
      <rgbColor rgb="FFF3EAFA"/>
      <rgbColor rgb="FFF2F2F2"/>
      <rgbColor rgb="FFCC99FF"/>
      <rgbColor rgb="FFFDEDED"/>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2F4F6F"/>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8"/>
  <sheetViews>
    <sheetView showGridLines="0" tabSelected="1" zoomScale="90" zoomScaleNormal="90" workbookViewId="0">
      <selection activeCell="B2" sqref="B2"/>
    </sheetView>
  </sheetViews>
  <sheetFormatPr defaultColWidth="8.6640625" defaultRowHeight="14.4" x14ac:dyDescent="0.3"/>
  <cols>
    <col min="1" max="1" width="26" style="1" customWidth="1"/>
    <col min="2" max="2" width="118" style="1" customWidth="1"/>
    <col min="3" max="6" width="18" style="1" customWidth="1"/>
    <col min="7" max="7" width="8.6640625" style="1" customWidth="1"/>
    <col min="8" max="16384" width="8.6640625" style="1"/>
  </cols>
  <sheetData>
    <row r="1" spans="1:3" ht="22.5" customHeight="1" x14ac:dyDescent="0.4">
      <c r="A1" s="2" t="s">
        <v>0</v>
      </c>
      <c r="B1" s="3"/>
      <c r="C1" s="3"/>
    </row>
    <row r="2" spans="1:3" ht="16.5" customHeight="1" x14ac:dyDescent="0.4">
      <c r="A2" s="3"/>
      <c r="B2" s="4" t="s">
        <v>1</v>
      </c>
      <c r="C2" s="3"/>
    </row>
    <row r="3" spans="1:3" ht="31.2" customHeight="1" x14ac:dyDescent="0.4">
      <c r="A3" s="44" t="s">
        <v>2</v>
      </c>
      <c r="B3" s="70" t="s">
        <v>3</v>
      </c>
      <c r="C3" s="3"/>
    </row>
    <row r="4" spans="1:3" ht="31.2" customHeight="1" x14ac:dyDescent="0.4">
      <c r="A4" s="44" t="s">
        <v>4</v>
      </c>
      <c r="B4" s="5" t="s">
        <v>5</v>
      </c>
      <c r="C4" s="3"/>
    </row>
    <row r="5" spans="1:3" ht="15" customHeight="1" x14ac:dyDescent="0.4">
      <c r="A5" s="44" t="s">
        <v>6</v>
      </c>
      <c r="B5" s="5" t="s">
        <v>7</v>
      </c>
      <c r="C5" s="3"/>
    </row>
    <row r="6" spans="1:3" ht="31.2" customHeight="1" x14ac:dyDescent="0.4">
      <c r="A6" s="44" t="s">
        <v>8</v>
      </c>
      <c r="B6" s="45" t="s">
        <v>9</v>
      </c>
      <c r="C6" s="3"/>
    </row>
    <row r="7" spans="1:3" ht="14.25" customHeight="1" x14ac:dyDescent="0.4">
      <c r="A7" s="3"/>
      <c r="B7" s="3"/>
      <c r="C7" s="3"/>
    </row>
    <row r="8" spans="1:3" ht="15" customHeight="1" x14ac:dyDescent="0.4">
      <c r="A8" s="46" t="s">
        <v>10</v>
      </c>
      <c r="B8" s="3"/>
      <c r="C8" s="3"/>
    </row>
    <row r="9" spans="1:3" ht="29.25" customHeight="1" x14ac:dyDescent="0.4">
      <c r="A9" s="6" t="s">
        <v>11</v>
      </c>
      <c r="B9" s="5" t="s">
        <v>12</v>
      </c>
      <c r="C9" s="3"/>
    </row>
    <row r="10" spans="1:3" ht="31.2" customHeight="1" x14ac:dyDescent="0.4">
      <c r="A10" s="6" t="s">
        <v>13</v>
      </c>
      <c r="B10" s="5" t="s">
        <v>14</v>
      </c>
      <c r="C10" s="3"/>
    </row>
    <row r="11" spans="1:3" ht="15" customHeight="1" x14ac:dyDescent="0.4">
      <c r="A11" s="6" t="s">
        <v>15</v>
      </c>
      <c r="B11" s="45" t="s">
        <v>16</v>
      </c>
      <c r="C11" s="3"/>
    </row>
    <row r="12" spans="1:3" ht="15" customHeight="1" x14ac:dyDescent="0.4">
      <c r="A12" s="6" t="s">
        <v>17</v>
      </c>
      <c r="B12" s="70" t="s">
        <v>18</v>
      </c>
      <c r="C12" s="3"/>
    </row>
    <row r="13" spans="1:3" ht="15" customHeight="1" x14ac:dyDescent="0.4">
      <c r="A13" s="6" t="s">
        <v>19</v>
      </c>
      <c r="B13" s="5" t="s">
        <v>20</v>
      </c>
      <c r="C13" s="3"/>
    </row>
    <row r="14" spans="1:3" ht="31.2" customHeight="1" x14ac:dyDescent="0.4">
      <c r="A14" s="6" t="s">
        <v>21</v>
      </c>
      <c r="B14" s="45" t="s">
        <v>22</v>
      </c>
      <c r="C14" s="3"/>
    </row>
    <row r="15" spans="1:3" ht="15" customHeight="1" x14ac:dyDescent="0.4">
      <c r="A15" s="6" t="s">
        <v>23</v>
      </c>
      <c r="B15" s="7" t="s">
        <v>24</v>
      </c>
      <c r="C15" s="3"/>
    </row>
    <row r="16" spans="1:3" ht="15" customHeight="1" x14ac:dyDescent="0.4">
      <c r="A16" s="46" t="s">
        <v>25</v>
      </c>
      <c r="B16" s="3"/>
      <c r="C16" s="3"/>
    </row>
    <row r="17" spans="1:3" ht="15" customHeight="1" x14ac:dyDescent="0.4">
      <c r="A17" s="44" t="s">
        <v>26</v>
      </c>
      <c r="B17" s="44" t="s">
        <v>27</v>
      </c>
      <c r="C17" s="3"/>
    </row>
    <row r="18" spans="1:3" ht="15" customHeight="1" x14ac:dyDescent="0.4">
      <c r="A18" s="8" t="s">
        <v>28</v>
      </c>
      <c r="B18" s="45" t="s">
        <v>29</v>
      </c>
      <c r="C18" s="3"/>
    </row>
    <row r="19" spans="1:3" ht="15" customHeight="1" x14ac:dyDescent="0.4">
      <c r="A19" s="8" t="s">
        <v>30</v>
      </c>
      <c r="B19" s="5" t="s">
        <v>31</v>
      </c>
      <c r="C19" s="3"/>
    </row>
    <row r="20" spans="1:3" ht="15" customHeight="1" x14ac:dyDescent="0.4">
      <c r="A20" s="8" t="s">
        <v>32</v>
      </c>
      <c r="B20" s="5" t="s">
        <v>33</v>
      </c>
      <c r="C20" s="3"/>
    </row>
    <row r="21" spans="1:3" ht="15" customHeight="1" x14ac:dyDescent="0.4">
      <c r="A21" s="8" t="s">
        <v>34</v>
      </c>
      <c r="B21" s="45" t="s">
        <v>35</v>
      </c>
      <c r="C21" s="3"/>
    </row>
    <row r="22" spans="1:3" ht="15" customHeight="1" x14ac:dyDescent="0.4">
      <c r="A22" s="8" t="s">
        <v>36</v>
      </c>
      <c r="B22" s="45" t="s">
        <v>37</v>
      </c>
      <c r="C22" s="3"/>
    </row>
    <row r="23" spans="1:3" ht="15" customHeight="1" x14ac:dyDescent="0.4">
      <c r="A23" s="8" t="s">
        <v>38</v>
      </c>
      <c r="B23" s="5" t="s">
        <v>39</v>
      </c>
      <c r="C23" s="3"/>
    </row>
    <row r="24" spans="1:3" ht="15" customHeight="1" x14ac:dyDescent="0.4">
      <c r="A24" s="8" t="s">
        <v>40</v>
      </c>
      <c r="B24" s="45" t="s">
        <v>41</v>
      </c>
      <c r="C24" s="3"/>
    </row>
    <row r="25" spans="1:3" ht="15" customHeight="1" x14ac:dyDescent="0.4">
      <c r="A25" s="47" t="s">
        <v>42</v>
      </c>
      <c r="B25" s="45" t="s">
        <v>43</v>
      </c>
      <c r="C25" s="3"/>
    </row>
    <row r="26" spans="1:3" ht="14.25" customHeight="1" x14ac:dyDescent="0.4">
      <c r="A26" s="3"/>
      <c r="B26" s="3"/>
      <c r="C26" s="3"/>
    </row>
    <row r="27" spans="1:3" ht="15" customHeight="1" x14ac:dyDescent="0.4">
      <c r="A27" s="46" t="s">
        <v>44</v>
      </c>
      <c r="B27" s="3"/>
      <c r="C27" s="3"/>
    </row>
    <row r="28" spans="1:3" ht="15" customHeight="1" x14ac:dyDescent="0.4">
      <c r="A28" s="44" t="s">
        <v>45</v>
      </c>
      <c r="B28" s="45" t="s">
        <v>46</v>
      </c>
      <c r="C28" s="3"/>
    </row>
    <row r="29" spans="1:3" ht="15" customHeight="1" x14ac:dyDescent="0.4">
      <c r="A29" s="44" t="s">
        <v>47</v>
      </c>
      <c r="B29" s="45" t="s">
        <v>48</v>
      </c>
      <c r="C29" s="3"/>
    </row>
    <row r="30" spans="1:3" ht="46.8" customHeight="1" x14ac:dyDescent="0.4">
      <c r="A30" s="44" t="s">
        <v>49</v>
      </c>
      <c r="B30" s="45" t="s">
        <v>50</v>
      </c>
      <c r="C30" s="3"/>
    </row>
    <row r="31" spans="1:3" ht="46.8" customHeight="1" x14ac:dyDescent="0.4">
      <c r="A31" s="44" t="s">
        <v>51</v>
      </c>
      <c r="B31" s="45" t="s">
        <v>52</v>
      </c>
      <c r="C31" s="3"/>
    </row>
    <row r="32" spans="1:3" ht="31.2" customHeight="1" x14ac:dyDescent="0.4">
      <c r="A32" s="44" t="s">
        <v>53</v>
      </c>
      <c r="B32" s="45" t="s">
        <v>54</v>
      </c>
      <c r="C32" s="3"/>
    </row>
    <row r="33" spans="1:3" ht="31.2" customHeight="1" x14ac:dyDescent="0.4">
      <c r="A33" s="44" t="s">
        <v>55</v>
      </c>
      <c r="B33" s="45" t="s">
        <v>56</v>
      </c>
      <c r="C33" s="3"/>
    </row>
    <row r="34" spans="1:3" ht="15" customHeight="1" x14ac:dyDescent="0.4">
      <c r="A34" s="44" t="s">
        <v>57</v>
      </c>
      <c r="B34" s="45" t="s">
        <v>58</v>
      </c>
      <c r="C34" s="3"/>
    </row>
    <row r="35" spans="1:3" ht="31.2" customHeight="1" x14ac:dyDescent="0.4">
      <c r="A35" s="44" t="s">
        <v>59</v>
      </c>
      <c r="B35" s="45" t="s">
        <v>60</v>
      </c>
      <c r="C35" s="3"/>
    </row>
    <row r="36" spans="1:3" ht="15" customHeight="1" x14ac:dyDescent="0.4">
      <c r="A36" s="3"/>
      <c r="B36" s="3"/>
      <c r="C36" s="3"/>
    </row>
    <row r="37" spans="1:3" ht="15" customHeight="1" x14ac:dyDescent="0.4">
      <c r="A37" s="46" t="s">
        <v>61</v>
      </c>
      <c r="B37" s="3"/>
      <c r="C37" s="3"/>
    </row>
    <row r="38" spans="1:3" ht="15" customHeight="1" x14ac:dyDescent="0.3">
      <c r="A38" s="10" t="s">
        <v>62</v>
      </c>
      <c r="B38" s="10" t="s">
        <v>63</v>
      </c>
      <c r="C38" s="48" t="s">
        <v>64</v>
      </c>
    </row>
    <row r="39" spans="1:3" ht="34.799999999999997" customHeight="1" x14ac:dyDescent="0.3">
      <c r="A39" s="49" t="s">
        <v>65</v>
      </c>
      <c r="B39" s="72" t="s">
        <v>66</v>
      </c>
      <c r="C39" s="66" t="s">
        <v>67</v>
      </c>
    </row>
    <row r="40" spans="1:3" ht="15" customHeight="1" x14ac:dyDescent="0.3">
      <c r="A40" s="49" t="s">
        <v>68</v>
      </c>
      <c r="B40" s="72" t="s">
        <v>69</v>
      </c>
      <c r="C40" s="66" t="s">
        <v>70</v>
      </c>
    </row>
    <row r="41" spans="1:3" ht="34.799999999999997" customHeight="1" x14ac:dyDescent="0.3">
      <c r="A41" s="49" t="s">
        <v>71</v>
      </c>
      <c r="B41" s="72" t="s">
        <v>72</v>
      </c>
      <c r="C41" s="66" t="s">
        <v>73</v>
      </c>
    </row>
    <row r="42" spans="1:3" ht="15" customHeight="1" x14ac:dyDescent="0.3">
      <c r="A42" s="49" t="s">
        <v>74</v>
      </c>
      <c r="B42" s="72" t="s">
        <v>75</v>
      </c>
      <c r="C42" s="66" t="s">
        <v>76</v>
      </c>
    </row>
    <row r="43" spans="1:3" ht="15" customHeight="1" x14ac:dyDescent="0.3">
      <c r="A43" s="49" t="s">
        <v>77</v>
      </c>
      <c r="B43" s="72" t="s">
        <v>78</v>
      </c>
      <c r="C43" s="66" t="s">
        <v>79</v>
      </c>
    </row>
    <row r="44" spans="1:3" ht="15" customHeight="1" x14ac:dyDescent="0.3">
      <c r="A44" s="49" t="s">
        <v>80</v>
      </c>
      <c r="B44" s="72" t="s">
        <v>81</v>
      </c>
      <c r="C44" s="66" t="s">
        <v>79</v>
      </c>
    </row>
    <row r="45" spans="1:3" ht="15" customHeight="1" x14ac:dyDescent="0.3">
      <c r="A45" s="49" t="s">
        <v>82</v>
      </c>
      <c r="B45" s="72" t="s">
        <v>83</v>
      </c>
      <c r="C45" s="66" t="s">
        <v>84</v>
      </c>
    </row>
    <row r="46" spans="1:3" ht="15" customHeight="1" x14ac:dyDescent="0.3">
      <c r="A46" s="49" t="s">
        <v>85</v>
      </c>
      <c r="B46" s="72" t="s">
        <v>86</v>
      </c>
      <c r="C46" s="66" t="s">
        <v>87</v>
      </c>
    </row>
    <row r="47" spans="1:3" ht="15" customHeight="1" x14ac:dyDescent="0.3">
      <c r="A47" s="49" t="s">
        <v>88</v>
      </c>
      <c r="B47" s="72" t="s">
        <v>89</v>
      </c>
      <c r="C47" s="66" t="s">
        <v>90</v>
      </c>
    </row>
    <row r="48" spans="1:3" ht="15" customHeight="1" x14ac:dyDescent="0.3">
      <c r="A48" s="49" t="s">
        <v>91</v>
      </c>
      <c r="B48" s="72" t="s">
        <v>92</v>
      </c>
      <c r="C48" s="66" t="s">
        <v>93</v>
      </c>
    </row>
    <row r="49" spans="1:3" ht="15" customHeight="1" x14ac:dyDescent="0.3">
      <c r="A49" s="49" t="s">
        <v>94</v>
      </c>
      <c r="B49" s="72" t="s">
        <v>95</v>
      </c>
      <c r="C49" s="66" t="s">
        <v>79</v>
      </c>
    </row>
    <row r="50" spans="1:3" ht="34.799999999999997" customHeight="1" x14ac:dyDescent="0.3">
      <c r="A50" s="49" t="s">
        <v>96</v>
      </c>
      <c r="B50" s="72" t="s">
        <v>97</v>
      </c>
      <c r="C50" s="66" t="s">
        <v>79</v>
      </c>
    </row>
    <row r="51" spans="1:3" ht="15" customHeight="1" x14ac:dyDescent="0.4">
      <c r="A51" s="13" t="s">
        <v>98</v>
      </c>
      <c r="B51" s="3"/>
      <c r="C51" s="3"/>
    </row>
    <row r="52" spans="1:3" ht="14.25" customHeight="1" x14ac:dyDescent="0.4">
      <c r="A52" s="3"/>
      <c r="B52" s="3"/>
      <c r="C52" s="3"/>
    </row>
    <row r="53" spans="1:3" ht="14.25" customHeight="1" x14ac:dyDescent="0.4">
      <c r="A53" s="3"/>
      <c r="B53" s="3"/>
      <c r="C53" s="3"/>
    </row>
    <row r="54" spans="1:3" ht="15" customHeight="1" x14ac:dyDescent="0.4">
      <c r="A54" s="9" t="s">
        <v>99</v>
      </c>
      <c r="B54" s="3"/>
      <c r="C54" s="3"/>
    </row>
    <row r="55" spans="1:3" ht="15" customHeight="1" x14ac:dyDescent="0.3">
      <c r="A55" s="10" t="s">
        <v>100</v>
      </c>
      <c r="B55" s="10" t="s">
        <v>101</v>
      </c>
      <c r="C55" s="48" t="s">
        <v>102</v>
      </c>
    </row>
    <row r="56" spans="1:3" ht="31.2" customHeight="1" x14ac:dyDescent="0.3">
      <c r="A56" s="49" t="s">
        <v>103</v>
      </c>
      <c r="B56" s="11">
        <f>COUNTIFS('2_Agent기능정의'!$C$2:$C$21,$A56,'2_Agent기능정의'!$B$2:$B$21,"Task")</f>
        <v>3</v>
      </c>
      <c r="C56" s="49" t="s">
        <v>104</v>
      </c>
    </row>
    <row r="57" spans="1:3" ht="31.2" customHeight="1" x14ac:dyDescent="0.3">
      <c r="A57" s="49" t="s">
        <v>105</v>
      </c>
      <c r="B57" s="11">
        <f>COUNTIFS('2_Agent기능정의'!$C$2:$C$21,$A57,'2_Agent기능정의'!$B$2:$B$21,"Task")</f>
        <v>2</v>
      </c>
      <c r="C57" s="49" t="s">
        <v>106</v>
      </c>
    </row>
    <row r="58" spans="1:3" ht="31.2" customHeight="1" x14ac:dyDescent="0.3">
      <c r="A58" s="49" t="s">
        <v>107</v>
      </c>
      <c r="B58" s="11">
        <f>COUNTIFS('2_Agent기능정의'!$C$2:$C$21,$A58,'2_Agent기능정의'!$B$2:$B$21,"Task")</f>
        <v>3</v>
      </c>
      <c r="C58" s="49" t="s">
        <v>108</v>
      </c>
    </row>
    <row r="59" spans="1:3" ht="46.8" customHeight="1" x14ac:dyDescent="0.3">
      <c r="A59" s="49" t="s">
        <v>109</v>
      </c>
      <c r="B59" s="11">
        <f>COUNTIFS('2_Agent기능정의'!$C$2:$C$21,$A59,'2_Agent기능정의'!$B$2:$B$21,"Task")</f>
        <v>2</v>
      </c>
      <c r="C59" s="49" t="s">
        <v>110</v>
      </c>
    </row>
    <row r="60" spans="1:3" ht="17.399999999999999" customHeight="1" x14ac:dyDescent="0.3">
      <c r="A60" s="49" t="s">
        <v>111</v>
      </c>
      <c r="B60" s="11">
        <f>COUNTIFS('2_Agent기능정의'!$C$2:$C$21,$A60,'2_Agent기능정의'!$B$2:$B$21,"Task")</f>
        <v>1</v>
      </c>
      <c r="C60" s="49" t="s">
        <v>112</v>
      </c>
    </row>
    <row r="61" spans="1:3" ht="17.399999999999999" customHeight="1" x14ac:dyDescent="0.3">
      <c r="A61" s="49" t="s">
        <v>113</v>
      </c>
      <c r="B61" s="11">
        <f>COUNTIFS('2_Agent기능정의'!$C$2:$C$21,$A61,'2_Agent기능정의'!$B$2:$B$21,"Task")</f>
        <v>1</v>
      </c>
      <c r="C61" s="49" t="s">
        <v>114</v>
      </c>
    </row>
    <row r="62" spans="1:3" ht="31.2" customHeight="1" x14ac:dyDescent="0.3">
      <c r="A62" s="49" t="s">
        <v>115</v>
      </c>
      <c r="B62" s="11">
        <f>COUNTIFS('2_Agent기능정의'!$C$2:$C$21,$A62,'2_Agent기능정의'!$B$2:$B$21,"Task")</f>
        <v>2</v>
      </c>
      <c r="C62" s="49" t="s">
        <v>116</v>
      </c>
    </row>
    <row r="63" spans="1:3" ht="31.2" customHeight="1" x14ac:dyDescent="0.3">
      <c r="A63" s="50" t="s">
        <v>117</v>
      </c>
      <c r="B63" s="12">
        <f>SUM(B56:B62)</f>
        <v>14</v>
      </c>
      <c r="C63" s="50" t="s">
        <v>118</v>
      </c>
    </row>
    <row r="64" spans="1:3" ht="15" customHeight="1" x14ac:dyDescent="0.4">
      <c r="A64" s="44" t="s">
        <v>119</v>
      </c>
      <c r="B64" s="51" t="str">
        <f>IF(B63=14,"일치","불일치")</f>
        <v>일치</v>
      </c>
      <c r="C64" s="3"/>
    </row>
    <row r="65" spans="1:3" ht="14.25" customHeight="1" x14ac:dyDescent="0.4">
      <c r="A65" s="3"/>
      <c r="B65" s="3"/>
      <c r="C65" s="3"/>
    </row>
    <row r="66" spans="1:3" ht="15" customHeight="1" x14ac:dyDescent="0.4">
      <c r="A66" s="13" t="s">
        <v>120</v>
      </c>
      <c r="B66" s="3"/>
      <c r="C66" s="3"/>
    </row>
    <row r="67" spans="1:3" ht="14.25" customHeight="1" x14ac:dyDescent="0.4">
      <c r="A67" s="3"/>
      <c r="B67" s="3"/>
      <c r="C67" s="3"/>
    </row>
    <row r="68" spans="1:3" ht="15" customHeight="1" x14ac:dyDescent="0.4">
      <c r="A68" s="9" t="s">
        <v>121</v>
      </c>
      <c r="B68" s="3"/>
      <c r="C68" s="3"/>
    </row>
    <row r="69" spans="1:3" ht="15" customHeight="1" x14ac:dyDescent="0.4">
      <c r="A69" s="48" t="s">
        <v>122</v>
      </c>
      <c r="B69" s="48" t="s">
        <v>123</v>
      </c>
      <c r="C69" s="3"/>
    </row>
    <row r="70" spans="1:3" ht="15" customHeight="1" x14ac:dyDescent="0.4">
      <c r="A70" s="52" t="s">
        <v>103</v>
      </c>
      <c r="B70" s="14" t="s">
        <v>124</v>
      </c>
      <c r="C70" s="3"/>
    </row>
    <row r="71" spans="1:3" ht="15" customHeight="1" x14ac:dyDescent="0.4">
      <c r="A71" s="53" t="s">
        <v>105</v>
      </c>
      <c r="B71" s="14" t="s">
        <v>125</v>
      </c>
      <c r="C71" s="3"/>
    </row>
    <row r="72" spans="1:3" ht="15" customHeight="1" x14ac:dyDescent="0.4">
      <c r="A72" s="54" t="s">
        <v>107</v>
      </c>
      <c r="B72" s="14" t="s">
        <v>126</v>
      </c>
      <c r="C72" s="3"/>
    </row>
    <row r="73" spans="1:3" ht="15" customHeight="1" x14ac:dyDescent="0.4">
      <c r="A73" s="55" t="s">
        <v>109</v>
      </c>
      <c r="B73" s="14" t="s">
        <v>127</v>
      </c>
      <c r="C73" s="3"/>
    </row>
    <row r="74" spans="1:3" ht="15" customHeight="1" x14ac:dyDescent="0.4">
      <c r="A74" s="56" t="s">
        <v>111</v>
      </c>
      <c r="B74" s="14" t="s">
        <v>128</v>
      </c>
      <c r="C74" s="3"/>
    </row>
    <row r="75" spans="1:3" ht="15" customHeight="1" x14ac:dyDescent="0.4">
      <c r="A75" s="56" t="s">
        <v>113</v>
      </c>
      <c r="B75" s="14" t="s">
        <v>129</v>
      </c>
      <c r="C75" s="3"/>
    </row>
    <row r="76" spans="1:3" ht="15" customHeight="1" x14ac:dyDescent="0.4">
      <c r="A76" s="57" t="s">
        <v>115</v>
      </c>
      <c r="B76" s="14" t="s">
        <v>130</v>
      </c>
      <c r="C76" s="3"/>
    </row>
    <row r="77" spans="1:3" ht="14.25" customHeight="1" x14ac:dyDescent="0.4">
      <c r="A77" s="3"/>
      <c r="B77" s="3"/>
      <c r="C77" s="3"/>
    </row>
    <row r="78" spans="1:3" ht="15" customHeight="1" x14ac:dyDescent="0.4">
      <c r="A78" s="13" t="s">
        <v>131</v>
      </c>
      <c r="B78" s="3"/>
      <c r="C78" s="3"/>
    </row>
  </sheetData>
  <phoneticPr fontId="17"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56"/>
  <sheetViews>
    <sheetView zoomScale="80" zoomScaleNormal="80" workbookViewId="0">
      <pane xSplit="4" ySplit="1" topLeftCell="E2" activePane="bottomRight" state="frozen"/>
      <selection pane="topRight" activeCell="E1" sqref="E1"/>
      <selection pane="bottomLeft" activeCell="A2" sqref="A2"/>
      <selection pane="bottomRight"/>
    </sheetView>
  </sheetViews>
  <sheetFormatPr defaultColWidth="8.6640625" defaultRowHeight="14.4" x14ac:dyDescent="0.3"/>
  <cols>
    <col min="1" max="1" width="5" customWidth="1"/>
    <col min="2" max="2" width="13" customWidth="1"/>
    <col min="3" max="4" width="8" customWidth="1"/>
    <col min="5" max="5" width="22" customWidth="1"/>
    <col min="6" max="6" width="6" customWidth="1"/>
    <col min="7" max="7" width="30" customWidth="1"/>
    <col min="8" max="8" width="34" customWidth="1"/>
    <col min="9" max="10" width="30" customWidth="1"/>
    <col min="11" max="11" width="46" customWidth="1"/>
    <col min="12" max="12" width="52" customWidth="1"/>
    <col min="13" max="13" width="14" customWidth="1"/>
  </cols>
  <sheetData>
    <row r="1" spans="1:13" ht="33.75" customHeight="1" x14ac:dyDescent="0.3">
      <c r="A1" s="10" t="s">
        <v>132</v>
      </c>
      <c r="B1" s="48" t="s">
        <v>133</v>
      </c>
      <c r="C1" s="10" t="s">
        <v>100</v>
      </c>
      <c r="D1" s="10" t="s">
        <v>134</v>
      </c>
      <c r="E1" s="48" t="s">
        <v>135</v>
      </c>
      <c r="F1" s="48" t="s">
        <v>136</v>
      </c>
      <c r="G1" s="48" t="s">
        <v>137</v>
      </c>
      <c r="H1" s="48" t="s">
        <v>138</v>
      </c>
      <c r="I1" s="10" t="s">
        <v>139</v>
      </c>
      <c r="J1" s="10" t="s">
        <v>140</v>
      </c>
      <c r="K1" s="10" t="s">
        <v>141</v>
      </c>
      <c r="L1" s="10" t="s">
        <v>142</v>
      </c>
      <c r="M1" s="48" t="s">
        <v>143</v>
      </c>
    </row>
    <row r="2" spans="1:13" ht="390" customHeight="1" x14ac:dyDescent="0.3">
      <c r="A2" s="51">
        <v>1</v>
      </c>
      <c r="B2" s="15" t="s">
        <v>144</v>
      </c>
      <c r="C2" s="58" t="s">
        <v>103</v>
      </c>
      <c r="D2" s="16" t="s">
        <v>145</v>
      </c>
      <c r="E2" s="49" t="s">
        <v>146</v>
      </c>
      <c r="F2" s="15">
        <v>1</v>
      </c>
      <c r="G2" s="49" t="s">
        <v>147</v>
      </c>
      <c r="H2" s="49" t="s">
        <v>148</v>
      </c>
      <c r="I2" s="17" t="s">
        <v>149</v>
      </c>
      <c r="J2" s="17" t="s">
        <v>150</v>
      </c>
      <c r="K2" s="49" t="s">
        <v>151</v>
      </c>
      <c r="L2" s="49" t="s">
        <v>152</v>
      </c>
      <c r="M2" s="14" t="s">
        <v>153</v>
      </c>
    </row>
    <row r="3" spans="1:13" ht="405.6" customHeight="1" x14ac:dyDescent="0.3">
      <c r="A3" s="51">
        <v>2</v>
      </c>
      <c r="B3" s="15" t="s">
        <v>144</v>
      </c>
      <c r="C3" s="58" t="s">
        <v>103</v>
      </c>
      <c r="D3" s="16" t="s">
        <v>154</v>
      </c>
      <c r="E3" s="49" t="s">
        <v>155</v>
      </c>
      <c r="F3" s="15">
        <v>2</v>
      </c>
      <c r="G3" s="14" t="s">
        <v>156</v>
      </c>
      <c r="H3" s="49" t="s">
        <v>157</v>
      </c>
      <c r="I3" s="17" t="s">
        <v>158</v>
      </c>
      <c r="J3" s="17" t="s">
        <v>159</v>
      </c>
      <c r="K3" s="49" t="s">
        <v>160</v>
      </c>
      <c r="L3" s="49" t="s">
        <v>161</v>
      </c>
      <c r="M3" s="14" t="s">
        <v>162</v>
      </c>
    </row>
    <row r="4" spans="1:13" ht="265.2" customHeight="1" x14ac:dyDescent="0.3">
      <c r="A4" s="51">
        <v>3</v>
      </c>
      <c r="B4" s="15" t="s">
        <v>144</v>
      </c>
      <c r="C4" s="58" t="s">
        <v>103</v>
      </c>
      <c r="D4" s="16" t="s">
        <v>163</v>
      </c>
      <c r="E4" s="49" t="s">
        <v>164</v>
      </c>
      <c r="F4" s="15">
        <v>4</v>
      </c>
      <c r="G4" s="49" t="s">
        <v>165</v>
      </c>
      <c r="H4" s="49" t="s">
        <v>166</v>
      </c>
      <c r="I4" s="17" t="s">
        <v>167</v>
      </c>
      <c r="J4" s="17" t="s">
        <v>168</v>
      </c>
      <c r="K4" s="49" t="s">
        <v>169</v>
      </c>
      <c r="L4" s="14" t="s">
        <v>170</v>
      </c>
      <c r="M4" s="14" t="s">
        <v>171</v>
      </c>
    </row>
    <row r="5" spans="1:13" ht="140.4" customHeight="1" x14ac:dyDescent="0.3">
      <c r="A5" s="51">
        <v>4</v>
      </c>
      <c r="B5" s="15" t="s">
        <v>144</v>
      </c>
      <c r="C5" s="59" t="s">
        <v>105</v>
      </c>
      <c r="D5" s="18" t="s">
        <v>172</v>
      </c>
      <c r="E5" s="49" t="s">
        <v>173</v>
      </c>
      <c r="F5" s="15">
        <v>5</v>
      </c>
      <c r="G5" s="14" t="s">
        <v>174</v>
      </c>
      <c r="H5" s="49" t="s">
        <v>175</v>
      </c>
      <c r="I5" s="17" t="s">
        <v>176</v>
      </c>
      <c r="J5" s="17" t="s">
        <v>177</v>
      </c>
      <c r="K5" s="14" t="s">
        <v>178</v>
      </c>
      <c r="L5" s="14" t="s">
        <v>179</v>
      </c>
      <c r="M5" s="14" t="s">
        <v>180</v>
      </c>
    </row>
    <row r="6" spans="1:13" ht="109.2" customHeight="1" x14ac:dyDescent="0.3">
      <c r="A6" s="51">
        <v>5</v>
      </c>
      <c r="B6" s="15" t="s">
        <v>144</v>
      </c>
      <c r="C6" s="59" t="s">
        <v>105</v>
      </c>
      <c r="D6" s="18" t="s">
        <v>181</v>
      </c>
      <c r="E6" s="49" t="s">
        <v>182</v>
      </c>
      <c r="F6" s="15">
        <v>6</v>
      </c>
      <c r="G6" s="14" t="s">
        <v>183</v>
      </c>
      <c r="H6" s="49" t="s">
        <v>184</v>
      </c>
      <c r="I6" s="17" t="s">
        <v>185</v>
      </c>
      <c r="J6" s="17" t="s">
        <v>186</v>
      </c>
      <c r="K6" s="14" t="s">
        <v>187</v>
      </c>
      <c r="L6" s="49" t="s">
        <v>188</v>
      </c>
      <c r="M6" s="14" t="s">
        <v>189</v>
      </c>
    </row>
    <row r="7" spans="1:13" ht="234" customHeight="1" x14ac:dyDescent="0.3">
      <c r="A7" s="51">
        <v>6</v>
      </c>
      <c r="B7" s="15" t="s">
        <v>144</v>
      </c>
      <c r="C7" s="60" t="s">
        <v>107</v>
      </c>
      <c r="D7" s="19" t="s">
        <v>190</v>
      </c>
      <c r="E7" s="49" t="s">
        <v>191</v>
      </c>
      <c r="F7" s="15">
        <v>7</v>
      </c>
      <c r="G7" s="14" t="s">
        <v>192</v>
      </c>
      <c r="H7" s="49" t="s">
        <v>193</v>
      </c>
      <c r="I7" s="17" t="s">
        <v>194</v>
      </c>
      <c r="J7" s="17" t="s">
        <v>195</v>
      </c>
      <c r="K7" s="49" t="s">
        <v>196</v>
      </c>
      <c r="L7" s="49" t="s">
        <v>197</v>
      </c>
      <c r="M7" s="14" t="s">
        <v>198</v>
      </c>
    </row>
    <row r="8" spans="1:13" ht="124.8" customHeight="1" x14ac:dyDescent="0.3">
      <c r="A8" s="51">
        <v>7</v>
      </c>
      <c r="B8" s="15" t="s">
        <v>144</v>
      </c>
      <c r="C8" s="60" t="s">
        <v>107</v>
      </c>
      <c r="D8" s="19" t="s">
        <v>199</v>
      </c>
      <c r="E8" s="49" t="s">
        <v>200</v>
      </c>
      <c r="F8" s="15">
        <v>8</v>
      </c>
      <c r="G8" s="14" t="s">
        <v>201</v>
      </c>
      <c r="H8" s="49" t="s">
        <v>202</v>
      </c>
      <c r="I8" s="17" t="s">
        <v>203</v>
      </c>
      <c r="J8" s="17" t="s">
        <v>204</v>
      </c>
      <c r="K8" s="49" t="s">
        <v>205</v>
      </c>
      <c r="L8" s="49" t="s">
        <v>206</v>
      </c>
      <c r="M8" s="14" t="s">
        <v>207</v>
      </c>
    </row>
    <row r="9" spans="1:13" ht="109.2" customHeight="1" x14ac:dyDescent="0.3">
      <c r="A9" s="51">
        <v>8</v>
      </c>
      <c r="B9" s="15" t="s">
        <v>144</v>
      </c>
      <c r="C9" s="60" t="s">
        <v>107</v>
      </c>
      <c r="D9" s="19" t="s">
        <v>208</v>
      </c>
      <c r="E9" s="49" t="s">
        <v>209</v>
      </c>
      <c r="F9" s="15">
        <v>9</v>
      </c>
      <c r="G9" s="14" t="s">
        <v>210</v>
      </c>
      <c r="H9" s="49" t="s">
        <v>211</v>
      </c>
      <c r="I9" s="17" t="s">
        <v>212</v>
      </c>
      <c r="J9" s="17" t="s">
        <v>213</v>
      </c>
      <c r="K9" s="49" t="s">
        <v>214</v>
      </c>
      <c r="L9" s="49" t="s">
        <v>215</v>
      </c>
      <c r="M9" s="14" t="s">
        <v>207</v>
      </c>
    </row>
    <row r="10" spans="1:13" ht="124.8" customHeight="1" x14ac:dyDescent="0.3">
      <c r="A10" s="51">
        <v>9</v>
      </c>
      <c r="B10" s="15" t="s">
        <v>144</v>
      </c>
      <c r="C10" s="62" t="s">
        <v>111</v>
      </c>
      <c r="D10" s="21" t="s">
        <v>216</v>
      </c>
      <c r="E10" s="49" t="s">
        <v>217</v>
      </c>
      <c r="F10" s="15">
        <v>10</v>
      </c>
      <c r="G10" s="22" t="s">
        <v>218</v>
      </c>
      <c r="H10" s="49" t="s">
        <v>219</v>
      </c>
      <c r="I10" s="17" t="s">
        <v>220</v>
      </c>
      <c r="J10" s="17" t="s">
        <v>221</v>
      </c>
      <c r="K10" s="49" t="s">
        <v>222</v>
      </c>
      <c r="L10" s="14" t="s">
        <v>223</v>
      </c>
      <c r="M10" s="14" t="s">
        <v>224</v>
      </c>
    </row>
    <row r="11" spans="1:13" ht="187.2" customHeight="1" x14ac:dyDescent="0.3">
      <c r="A11" s="51">
        <v>10</v>
      </c>
      <c r="B11" s="15" t="s">
        <v>144</v>
      </c>
      <c r="C11" s="61" t="s">
        <v>109</v>
      </c>
      <c r="D11" s="20" t="s">
        <v>225</v>
      </c>
      <c r="E11" s="49" t="s">
        <v>226</v>
      </c>
      <c r="F11" s="15">
        <v>12</v>
      </c>
      <c r="G11" s="49" t="s">
        <v>227</v>
      </c>
      <c r="H11" s="49" t="s">
        <v>228</v>
      </c>
      <c r="I11" s="17" t="s">
        <v>229</v>
      </c>
      <c r="J11" s="17" t="s">
        <v>230</v>
      </c>
      <c r="K11" s="49" t="s">
        <v>231</v>
      </c>
      <c r="L11" s="49" t="s">
        <v>232</v>
      </c>
      <c r="M11" s="14" t="s">
        <v>233</v>
      </c>
    </row>
    <row r="12" spans="1:13" ht="140.4" customHeight="1" x14ac:dyDescent="0.3">
      <c r="A12" s="51">
        <v>11</v>
      </c>
      <c r="B12" s="15" t="s">
        <v>144</v>
      </c>
      <c r="C12" s="61" t="s">
        <v>109</v>
      </c>
      <c r="D12" s="20" t="s">
        <v>234</v>
      </c>
      <c r="E12" s="49" t="s">
        <v>235</v>
      </c>
      <c r="F12" s="15">
        <v>13</v>
      </c>
      <c r="G12" s="49" t="s">
        <v>236</v>
      </c>
      <c r="H12" s="49" t="s">
        <v>237</v>
      </c>
      <c r="I12" s="17" t="s">
        <v>238</v>
      </c>
      <c r="J12" s="17" t="s">
        <v>239</v>
      </c>
      <c r="K12" s="49" t="s">
        <v>240</v>
      </c>
      <c r="L12" s="49" t="s">
        <v>241</v>
      </c>
      <c r="M12" s="14" t="s">
        <v>242</v>
      </c>
    </row>
    <row r="13" spans="1:13" ht="374.4" customHeight="1" x14ac:dyDescent="0.3">
      <c r="A13" s="51">
        <v>12</v>
      </c>
      <c r="B13" s="15" t="s">
        <v>144</v>
      </c>
      <c r="C13" s="62" t="s">
        <v>113</v>
      </c>
      <c r="D13" s="21" t="s">
        <v>243</v>
      </c>
      <c r="E13" s="49" t="s">
        <v>244</v>
      </c>
      <c r="F13" s="15">
        <v>15</v>
      </c>
      <c r="G13" s="22" t="s">
        <v>245</v>
      </c>
      <c r="H13" s="49" t="s">
        <v>246</v>
      </c>
      <c r="I13" s="17" t="s">
        <v>247</v>
      </c>
      <c r="J13" s="17" t="s">
        <v>248</v>
      </c>
      <c r="K13" s="49" t="s">
        <v>249</v>
      </c>
      <c r="L13" s="49" t="s">
        <v>250</v>
      </c>
      <c r="M13" s="14" t="s">
        <v>251</v>
      </c>
    </row>
    <row r="14" spans="1:13" ht="140.4" customHeight="1" x14ac:dyDescent="0.3">
      <c r="A14" s="51">
        <v>13</v>
      </c>
      <c r="B14" s="15" t="s">
        <v>144</v>
      </c>
      <c r="C14" s="63" t="s">
        <v>115</v>
      </c>
      <c r="D14" s="23" t="s">
        <v>252</v>
      </c>
      <c r="E14" s="49" t="s">
        <v>253</v>
      </c>
      <c r="F14" s="15">
        <v>18</v>
      </c>
      <c r="G14" s="49" t="s">
        <v>254</v>
      </c>
      <c r="H14" s="49" t="s">
        <v>255</v>
      </c>
      <c r="I14" s="17" t="s">
        <v>256</v>
      </c>
      <c r="J14" s="17" t="s">
        <v>257</v>
      </c>
      <c r="K14" s="49" t="s">
        <v>258</v>
      </c>
      <c r="L14" s="14" t="s">
        <v>259</v>
      </c>
      <c r="M14" s="14" t="s">
        <v>260</v>
      </c>
    </row>
    <row r="15" spans="1:13" ht="280.8" customHeight="1" x14ac:dyDescent="0.3">
      <c r="A15" s="51">
        <v>14</v>
      </c>
      <c r="B15" s="15" t="s">
        <v>144</v>
      </c>
      <c r="C15" s="63" t="s">
        <v>115</v>
      </c>
      <c r="D15" s="23" t="s">
        <v>261</v>
      </c>
      <c r="E15" s="49" t="s">
        <v>262</v>
      </c>
      <c r="F15" s="15">
        <v>19</v>
      </c>
      <c r="G15" s="14" t="s">
        <v>263</v>
      </c>
      <c r="H15" s="49" t="s">
        <v>264</v>
      </c>
      <c r="I15" s="17" t="s">
        <v>265</v>
      </c>
      <c r="J15" s="17" t="s">
        <v>266</v>
      </c>
      <c r="K15" s="49" t="s">
        <v>267</v>
      </c>
      <c r="L15" s="49" t="s">
        <v>268</v>
      </c>
      <c r="M15" s="14" t="s">
        <v>269</v>
      </c>
    </row>
    <row r="16" spans="1:13" ht="156" customHeight="1" x14ac:dyDescent="0.3">
      <c r="A16" s="24" t="s">
        <v>270</v>
      </c>
      <c r="B16" s="64" t="s">
        <v>271</v>
      </c>
      <c r="C16" s="58" t="s">
        <v>103</v>
      </c>
      <c r="D16" s="16" t="s">
        <v>272</v>
      </c>
      <c r="E16" s="65" t="s">
        <v>273</v>
      </c>
      <c r="F16" s="64">
        <v>3</v>
      </c>
      <c r="G16" s="65" t="s">
        <v>274</v>
      </c>
      <c r="H16" s="65" t="s">
        <v>275</v>
      </c>
      <c r="I16" s="25" t="s">
        <v>276</v>
      </c>
      <c r="J16" s="25" t="s">
        <v>277</v>
      </c>
      <c r="K16" s="65" t="s">
        <v>278</v>
      </c>
      <c r="L16" s="26" t="s">
        <v>279</v>
      </c>
      <c r="M16" s="26" t="s">
        <v>280</v>
      </c>
    </row>
    <row r="17" spans="1:13" ht="405.6" customHeight="1" x14ac:dyDescent="0.3">
      <c r="A17" s="24" t="s">
        <v>270</v>
      </c>
      <c r="B17" s="64" t="s">
        <v>271</v>
      </c>
      <c r="C17" s="58" t="s">
        <v>103</v>
      </c>
      <c r="D17" s="16" t="s">
        <v>281</v>
      </c>
      <c r="E17" s="65" t="s">
        <v>282</v>
      </c>
      <c r="F17" s="64">
        <v>11</v>
      </c>
      <c r="G17" s="26" t="s">
        <v>283</v>
      </c>
      <c r="H17" s="65" t="s">
        <v>284</v>
      </c>
      <c r="I17" s="25" t="s">
        <v>285</v>
      </c>
      <c r="J17" s="25" t="s">
        <v>286</v>
      </c>
      <c r="K17" s="65" t="s">
        <v>287</v>
      </c>
      <c r="L17" s="65" t="s">
        <v>288</v>
      </c>
      <c r="M17" s="26" t="s">
        <v>289</v>
      </c>
    </row>
    <row r="18" spans="1:13" ht="358.8" customHeight="1" x14ac:dyDescent="0.3">
      <c r="A18" s="24" t="s">
        <v>270</v>
      </c>
      <c r="B18" s="27" t="s">
        <v>290</v>
      </c>
      <c r="C18" s="58" t="s">
        <v>103</v>
      </c>
      <c r="D18" s="16" t="s">
        <v>291</v>
      </c>
      <c r="E18" s="65" t="s">
        <v>292</v>
      </c>
      <c r="F18" s="64">
        <v>20</v>
      </c>
      <c r="G18" s="65" t="s">
        <v>293</v>
      </c>
      <c r="H18" s="65" t="s">
        <v>294</v>
      </c>
      <c r="I18" s="25" t="s">
        <v>295</v>
      </c>
      <c r="J18" s="25" t="s">
        <v>296</v>
      </c>
      <c r="K18" s="65" t="s">
        <v>297</v>
      </c>
      <c r="L18" s="65" t="s">
        <v>298</v>
      </c>
      <c r="M18" s="26" t="s">
        <v>299</v>
      </c>
    </row>
    <row r="19" spans="1:13" ht="118.8" customHeight="1" x14ac:dyDescent="0.3">
      <c r="A19" s="24" t="s">
        <v>270</v>
      </c>
      <c r="B19" s="64" t="s">
        <v>271</v>
      </c>
      <c r="C19" s="63" t="s">
        <v>115</v>
      </c>
      <c r="D19" s="23" t="s">
        <v>300</v>
      </c>
      <c r="E19" s="65" t="s">
        <v>301</v>
      </c>
      <c r="F19" s="64">
        <v>17</v>
      </c>
      <c r="G19" s="26" t="s">
        <v>302</v>
      </c>
      <c r="H19" s="65" t="s">
        <v>303</v>
      </c>
      <c r="I19" s="25" t="s">
        <v>304</v>
      </c>
      <c r="J19" s="25" t="s">
        <v>305</v>
      </c>
      <c r="K19" s="65" t="s">
        <v>306</v>
      </c>
      <c r="L19" s="65" t="s">
        <v>307</v>
      </c>
      <c r="M19" s="26" t="s">
        <v>308</v>
      </c>
    </row>
    <row r="20" spans="1:13" ht="409.6" x14ac:dyDescent="0.3">
      <c r="A20" s="24" t="s">
        <v>270</v>
      </c>
      <c r="B20" s="64" t="s">
        <v>271</v>
      </c>
      <c r="C20" s="58" t="s">
        <v>103</v>
      </c>
      <c r="D20" s="16" t="s">
        <v>309</v>
      </c>
      <c r="E20" s="65" t="s">
        <v>310</v>
      </c>
      <c r="F20" s="64">
        <v>16</v>
      </c>
      <c r="G20" s="26" t="s">
        <v>311</v>
      </c>
      <c r="H20" s="65" t="s">
        <v>312</v>
      </c>
      <c r="I20" s="25" t="s">
        <v>313</v>
      </c>
      <c r="J20" s="25" t="s">
        <v>314</v>
      </c>
      <c r="K20" s="65" t="s">
        <v>315</v>
      </c>
      <c r="L20" s="65" t="s">
        <v>316</v>
      </c>
      <c r="M20" s="26" t="s">
        <v>289</v>
      </c>
    </row>
    <row r="21" spans="1:13" ht="234" customHeight="1" x14ac:dyDescent="0.3">
      <c r="A21" s="24" t="s">
        <v>270</v>
      </c>
      <c r="B21" s="64" t="s">
        <v>271</v>
      </c>
      <c r="C21" s="58" t="s">
        <v>103</v>
      </c>
      <c r="D21" s="16" t="s">
        <v>317</v>
      </c>
      <c r="E21" s="65" t="s">
        <v>318</v>
      </c>
      <c r="F21" s="64">
        <v>14</v>
      </c>
      <c r="G21" s="26" t="s">
        <v>319</v>
      </c>
      <c r="H21" s="65" t="s">
        <v>320</v>
      </c>
      <c r="I21" s="25" t="s">
        <v>321</v>
      </c>
      <c r="J21" s="25" t="s">
        <v>322</v>
      </c>
      <c r="K21" s="65" t="s">
        <v>323</v>
      </c>
      <c r="L21" s="65" t="s">
        <v>324</v>
      </c>
      <c r="M21" s="26" t="s">
        <v>325</v>
      </c>
    </row>
    <row r="22" spans="1:13" ht="14.25" customHeight="1" x14ac:dyDescent="0.4">
      <c r="A22" s="3"/>
      <c r="B22" s="3"/>
      <c r="C22" s="3"/>
      <c r="D22" s="3"/>
      <c r="E22" s="3"/>
      <c r="F22" s="3"/>
      <c r="G22" s="3"/>
      <c r="H22" s="3"/>
      <c r="I22" s="3"/>
      <c r="J22" s="3"/>
      <c r="K22" s="3"/>
      <c r="L22" s="3"/>
      <c r="M22" s="3"/>
    </row>
    <row r="23" spans="1:13" ht="14.25" customHeight="1" x14ac:dyDescent="0.4">
      <c r="A23" s="3"/>
      <c r="B23" s="3"/>
      <c r="C23" s="3"/>
      <c r="D23" s="3"/>
      <c r="E23" s="3"/>
      <c r="F23" s="3"/>
      <c r="G23" s="3"/>
      <c r="H23" s="3"/>
      <c r="I23" s="3"/>
      <c r="J23" s="3"/>
      <c r="K23" s="3"/>
      <c r="L23" s="3"/>
      <c r="M23" s="3"/>
    </row>
    <row r="24" spans="1:13" ht="14.25" customHeight="1" x14ac:dyDescent="0.4">
      <c r="A24" s="3"/>
      <c r="B24" s="3"/>
      <c r="C24" s="3"/>
      <c r="D24" s="3"/>
      <c r="E24" s="3"/>
      <c r="F24" s="3"/>
      <c r="G24" s="3"/>
      <c r="H24" s="3"/>
      <c r="I24" s="3"/>
      <c r="J24" s="3"/>
      <c r="K24" s="3"/>
      <c r="L24" s="3"/>
      <c r="M24" s="3"/>
    </row>
    <row r="25" spans="1:13" ht="14.25" customHeight="1" x14ac:dyDescent="0.4">
      <c r="A25" s="3"/>
      <c r="B25" s="3"/>
      <c r="C25" s="3"/>
      <c r="D25" s="3"/>
      <c r="E25" s="3"/>
      <c r="F25" s="3"/>
      <c r="G25" s="3"/>
      <c r="H25" s="3"/>
      <c r="I25" s="3"/>
      <c r="J25" s="3"/>
      <c r="K25" s="3"/>
      <c r="L25" s="3"/>
      <c r="M25" s="3"/>
    </row>
    <row r="26" spans="1:13" ht="14.25" customHeight="1" x14ac:dyDescent="0.4">
      <c r="A26" s="3"/>
      <c r="B26" s="3"/>
      <c r="C26" s="3"/>
      <c r="D26" s="3"/>
      <c r="E26" s="3"/>
      <c r="F26" s="3"/>
      <c r="G26" s="3"/>
      <c r="H26" s="3"/>
      <c r="I26" s="3"/>
      <c r="J26" s="3"/>
      <c r="K26" s="3"/>
      <c r="L26" s="3"/>
      <c r="M26" s="3"/>
    </row>
    <row r="27" spans="1:13" ht="14.25" customHeight="1" x14ac:dyDescent="0.4">
      <c r="A27" s="3"/>
      <c r="B27" s="3"/>
      <c r="C27" s="3"/>
      <c r="D27" s="3"/>
      <c r="E27" s="3"/>
      <c r="F27" s="3"/>
      <c r="G27" s="3"/>
      <c r="H27" s="3"/>
      <c r="I27" s="3"/>
      <c r="J27" s="3"/>
      <c r="K27" s="3"/>
      <c r="L27" s="3"/>
      <c r="M27" s="3"/>
    </row>
    <row r="28" spans="1:13" ht="14.25" customHeight="1" x14ac:dyDescent="0.4">
      <c r="A28" s="3"/>
      <c r="B28" s="3"/>
      <c r="C28" s="3"/>
      <c r="D28" s="3"/>
      <c r="E28" s="3"/>
      <c r="F28" s="3"/>
      <c r="G28" s="3"/>
      <c r="H28" s="3"/>
      <c r="I28" s="3"/>
      <c r="J28" s="3"/>
      <c r="K28" s="3"/>
      <c r="L28" s="3"/>
      <c r="M28" s="3"/>
    </row>
    <row r="29" spans="1:13" ht="14.25" customHeight="1" x14ac:dyDescent="0.4">
      <c r="A29" s="3"/>
      <c r="B29" s="3"/>
      <c r="C29" s="3"/>
      <c r="D29" s="3"/>
      <c r="E29" s="3"/>
      <c r="F29" s="3"/>
      <c r="G29" s="3"/>
      <c r="H29" s="3"/>
      <c r="I29" s="3"/>
      <c r="J29" s="3"/>
      <c r="K29" s="3"/>
      <c r="L29" s="3"/>
      <c r="M29" s="3"/>
    </row>
    <row r="30" spans="1:13" ht="14.25" customHeight="1" x14ac:dyDescent="0.4">
      <c r="A30" s="3"/>
      <c r="B30" s="3"/>
      <c r="C30" s="3"/>
      <c r="D30" s="3"/>
      <c r="E30" s="3"/>
      <c r="F30" s="3"/>
      <c r="G30" s="3"/>
      <c r="H30" s="3"/>
      <c r="I30" s="3"/>
      <c r="J30" s="3"/>
      <c r="K30" s="3"/>
      <c r="L30" s="3"/>
      <c r="M30" s="3"/>
    </row>
    <row r="31" spans="1:13" ht="14.25" customHeight="1" x14ac:dyDescent="0.4">
      <c r="A31" s="3"/>
      <c r="B31" s="3"/>
      <c r="C31" s="3"/>
      <c r="D31" s="3"/>
      <c r="E31" s="3"/>
      <c r="F31" s="3"/>
      <c r="G31" s="3"/>
      <c r="H31" s="3"/>
      <c r="I31" s="3"/>
      <c r="J31" s="3"/>
      <c r="K31" s="3"/>
      <c r="L31" s="3"/>
      <c r="M31" s="3"/>
    </row>
    <row r="32" spans="1:13" ht="14.25" customHeight="1" x14ac:dyDescent="0.4">
      <c r="A32" s="3"/>
      <c r="B32" s="3"/>
      <c r="C32" s="3"/>
      <c r="D32" s="3"/>
      <c r="E32" s="3"/>
      <c r="F32" s="3"/>
      <c r="G32" s="3"/>
      <c r="H32" s="3"/>
      <c r="I32" s="3"/>
      <c r="J32" s="3"/>
      <c r="K32" s="3"/>
      <c r="L32" s="3"/>
      <c r="M32" s="3"/>
    </row>
    <row r="33" spans="1:13" ht="14.25" customHeight="1" x14ac:dyDescent="0.4">
      <c r="A33" s="3"/>
      <c r="B33" s="3"/>
      <c r="C33" s="3"/>
      <c r="D33" s="3"/>
      <c r="E33" s="3"/>
      <c r="F33" s="3"/>
      <c r="G33" s="3"/>
      <c r="H33" s="3"/>
      <c r="I33" s="3"/>
      <c r="J33" s="3"/>
      <c r="K33" s="3"/>
      <c r="L33" s="3"/>
      <c r="M33" s="3"/>
    </row>
    <row r="34" spans="1:13" ht="14.25" customHeight="1" x14ac:dyDescent="0.4">
      <c r="A34" s="3"/>
      <c r="B34" s="3"/>
      <c r="C34" s="3"/>
      <c r="D34" s="3"/>
      <c r="E34" s="3"/>
      <c r="F34" s="3"/>
      <c r="G34" s="3"/>
      <c r="H34" s="3"/>
      <c r="I34" s="3"/>
      <c r="J34" s="3"/>
      <c r="K34" s="3"/>
      <c r="L34" s="3"/>
      <c r="M34" s="3"/>
    </row>
    <row r="35" spans="1:13" ht="14.25" customHeight="1" x14ac:dyDescent="0.4">
      <c r="A35" s="3"/>
      <c r="B35" s="3"/>
      <c r="C35" s="3"/>
      <c r="D35" s="3"/>
      <c r="E35" s="3"/>
      <c r="F35" s="3"/>
      <c r="G35" s="3"/>
      <c r="H35" s="3"/>
      <c r="I35" s="3"/>
      <c r="J35" s="3"/>
      <c r="K35" s="3"/>
      <c r="L35" s="3"/>
      <c r="M35" s="3"/>
    </row>
    <row r="36" spans="1:13" ht="14.25" customHeight="1" x14ac:dyDescent="0.4">
      <c r="A36" s="3"/>
      <c r="B36" s="3"/>
      <c r="C36" s="3"/>
      <c r="D36" s="3"/>
      <c r="E36" s="3"/>
      <c r="F36" s="3"/>
      <c r="G36" s="3"/>
      <c r="H36" s="3"/>
      <c r="I36" s="3"/>
      <c r="J36" s="3"/>
      <c r="K36" s="3"/>
      <c r="L36" s="3"/>
      <c r="M36" s="3"/>
    </row>
    <row r="37" spans="1:13" ht="14.25" customHeight="1" x14ac:dyDescent="0.4">
      <c r="A37" s="3"/>
      <c r="B37" s="3"/>
      <c r="C37" s="3"/>
      <c r="D37" s="3"/>
      <c r="E37" s="3"/>
      <c r="F37" s="3"/>
      <c r="G37" s="3"/>
      <c r="H37" s="3"/>
      <c r="I37" s="3"/>
      <c r="J37" s="3"/>
      <c r="K37" s="3"/>
      <c r="L37" s="3"/>
      <c r="M37" s="3"/>
    </row>
    <row r="38" spans="1:13" ht="14.25" customHeight="1" x14ac:dyDescent="0.4">
      <c r="A38" s="3"/>
      <c r="B38" s="3"/>
      <c r="C38" s="3"/>
      <c r="D38" s="3"/>
      <c r="E38" s="3"/>
      <c r="F38" s="3"/>
      <c r="G38" s="3"/>
      <c r="H38" s="3"/>
      <c r="I38" s="3"/>
      <c r="J38" s="3"/>
      <c r="K38" s="3"/>
      <c r="L38" s="3"/>
      <c r="M38" s="3"/>
    </row>
    <row r="39" spans="1:13" ht="14.25" customHeight="1" x14ac:dyDescent="0.4">
      <c r="A39" s="3"/>
      <c r="B39" s="3"/>
      <c r="C39" s="3"/>
      <c r="D39" s="3"/>
      <c r="E39" s="3"/>
      <c r="F39" s="3"/>
      <c r="G39" s="3"/>
      <c r="H39" s="3"/>
      <c r="I39" s="3"/>
      <c r="J39" s="3"/>
      <c r="K39" s="3"/>
      <c r="L39" s="3"/>
      <c r="M39" s="3"/>
    </row>
    <row r="40" spans="1:13" ht="14.25" customHeight="1" x14ac:dyDescent="0.4">
      <c r="A40" s="3"/>
      <c r="B40" s="3"/>
      <c r="C40" s="3"/>
      <c r="D40" s="3"/>
      <c r="E40" s="3"/>
      <c r="F40" s="3"/>
      <c r="G40" s="3"/>
      <c r="H40" s="3"/>
      <c r="I40" s="3"/>
      <c r="J40" s="3"/>
      <c r="K40" s="3"/>
      <c r="L40" s="3"/>
      <c r="M40" s="3"/>
    </row>
    <row r="41" spans="1:13" ht="14.25" customHeight="1" x14ac:dyDescent="0.4">
      <c r="A41" s="3"/>
      <c r="B41" s="3"/>
      <c r="C41" s="3"/>
      <c r="D41" s="3"/>
      <c r="E41" s="3"/>
      <c r="F41" s="3"/>
      <c r="G41" s="3"/>
      <c r="H41" s="3"/>
      <c r="I41" s="3"/>
      <c r="J41" s="3"/>
      <c r="K41" s="3"/>
      <c r="L41" s="3"/>
      <c r="M41" s="3"/>
    </row>
    <row r="42" spans="1:13" ht="14.25" customHeight="1" x14ac:dyDescent="0.4">
      <c r="A42" s="3"/>
      <c r="B42" s="3"/>
      <c r="C42" s="3"/>
      <c r="D42" s="3"/>
      <c r="E42" s="3"/>
      <c r="F42" s="3"/>
      <c r="G42" s="3"/>
      <c r="H42" s="3"/>
      <c r="I42" s="3"/>
      <c r="J42" s="3"/>
      <c r="K42" s="3"/>
      <c r="L42" s="3"/>
      <c r="M42" s="3"/>
    </row>
    <row r="43" spans="1:13" ht="14.25" customHeight="1" x14ac:dyDescent="0.4">
      <c r="A43" s="3"/>
      <c r="B43" s="3"/>
      <c r="C43" s="3"/>
      <c r="D43" s="3"/>
      <c r="E43" s="3"/>
      <c r="F43" s="3"/>
      <c r="G43" s="3"/>
      <c r="H43" s="3"/>
      <c r="I43" s="3"/>
      <c r="J43" s="3"/>
      <c r="K43" s="3"/>
      <c r="L43" s="3"/>
      <c r="M43" s="3"/>
    </row>
    <row r="44" spans="1:13" ht="14.25" customHeight="1" x14ac:dyDescent="0.4">
      <c r="A44" s="3"/>
      <c r="B44" s="3"/>
      <c r="C44" s="3"/>
      <c r="D44" s="3"/>
      <c r="E44" s="3"/>
      <c r="F44" s="3"/>
      <c r="G44" s="3"/>
      <c r="H44" s="3"/>
      <c r="I44" s="3"/>
      <c r="J44" s="3"/>
      <c r="K44" s="3"/>
      <c r="L44" s="3"/>
      <c r="M44" s="3"/>
    </row>
    <row r="45" spans="1:13" ht="14.25" customHeight="1" x14ac:dyDescent="0.4">
      <c r="A45" s="3"/>
      <c r="B45" s="3"/>
      <c r="C45" s="3"/>
      <c r="D45" s="3"/>
      <c r="E45" s="3"/>
      <c r="F45" s="3"/>
      <c r="G45" s="3"/>
      <c r="H45" s="3"/>
      <c r="I45" s="3"/>
      <c r="J45" s="3"/>
      <c r="K45" s="3"/>
      <c r="L45" s="3"/>
      <c r="M45" s="3"/>
    </row>
    <row r="46" spans="1:13" ht="14.25" customHeight="1" x14ac:dyDescent="0.4">
      <c r="A46" s="3"/>
      <c r="B46" s="3"/>
      <c r="C46" s="3"/>
      <c r="D46" s="3"/>
      <c r="E46" s="3"/>
      <c r="F46" s="3"/>
      <c r="G46" s="3"/>
      <c r="H46" s="3"/>
      <c r="I46" s="3"/>
      <c r="J46" s="3"/>
      <c r="K46" s="3"/>
      <c r="L46" s="3"/>
      <c r="M46" s="3"/>
    </row>
    <row r="47" spans="1:13" ht="14.25" customHeight="1" x14ac:dyDescent="0.4">
      <c r="A47" s="3"/>
      <c r="B47" s="3"/>
      <c r="C47" s="3"/>
      <c r="D47" s="3"/>
      <c r="E47" s="3"/>
      <c r="F47" s="3"/>
      <c r="G47" s="3"/>
      <c r="H47" s="3"/>
      <c r="I47" s="3"/>
      <c r="J47" s="3"/>
      <c r="K47" s="3"/>
      <c r="L47" s="3"/>
      <c r="M47" s="3"/>
    </row>
    <row r="48" spans="1:13" ht="14.25" customHeight="1" x14ac:dyDescent="0.4">
      <c r="A48" s="3"/>
      <c r="B48" s="3"/>
      <c r="C48" s="3"/>
      <c r="D48" s="3"/>
      <c r="E48" s="3"/>
      <c r="F48" s="3"/>
      <c r="G48" s="3"/>
      <c r="H48" s="3"/>
      <c r="I48" s="3"/>
      <c r="J48" s="3"/>
      <c r="K48" s="3"/>
      <c r="L48" s="3"/>
      <c r="M48" s="3"/>
    </row>
    <row r="49" spans="1:13" ht="14.25" customHeight="1" x14ac:dyDescent="0.4">
      <c r="A49" s="3"/>
      <c r="B49" s="3"/>
      <c r="C49" s="3"/>
      <c r="D49" s="3"/>
      <c r="E49" s="3"/>
      <c r="F49" s="3"/>
      <c r="G49" s="3"/>
      <c r="H49" s="3"/>
      <c r="I49" s="3"/>
      <c r="J49" s="3"/>
      <c r="K49" s="3"/>
      <c r="L49" s="3"/>
      <c r="M49" s="3"/>
    </row>
    <row r="50" spans="1:13" ht="14.25" customHeight="1" x14ac:dyDescent="0.4">
      <c r="A50" s="3"/>
      <c r="B50" s="3"/>
      <c r="C50" s="3"/>
      <c r="D50" s="3"/>
      <c r="E50" s="3"/>
      <c r="F50" s="3"/>
      <c r="G50" s="3"/>
      <c r="H50" s="3"/>
      <c r="I50" s="3"/>
      <c r="J50" s="3"/>
      <c r="K50" s="3"/>
      <c r="L50" s="3"/>
      <c r="M50" s="3"/>
    </row>
    <row r="51" spans="1:13" ht="14.25" customHeight="1" x14ac:dyDescent="0.4">
      <c r="A51" s="3"/>
      <c r="B51" s="3"/>
      <c r="C51" s="3"/>
      <c r="D51" s="3"/>
      <c r="E51" s="3"/>
      <c r="F51" s="3"/>
      <c r="G51" s="3"/>
      <c r="H51" s="3"/>
      <c r="I51" s="3"/>
      <c r="J51" s="3"/>
      <c r="K51" s="3"/>
      <c r="L51" s="3"/>
      <c r="M51" s="3"/>
    </row>
    <row r="52" spans="1:13" ht="14.25" customHeight="1" x14ac:dyDescent="0.4">
      <c r="A52" s="3"/>
      <c r="B52" s="3"/>
      <c r="C52" s="3"/>
      <c r="D52" s="3"/>
      <c r="E52" s="3"/>
      <c r="F52" s="3"/>
      <c r="G52" s="3"/>
      <c r="H52" s="3"/>
      <c r="I52" s="3"/>
      <c r="J52" s="3"/>
      <c r="K52" s="3"/>
      <c r="L52" s="3"/>
      <c r="M52" s="3"/>
    </row>
    <row r="53" spans="1:13" ht="14.25" customHeight="1" x14ac:dyDescent="0.4">
      <c r="A53" s="3"/>
      <c r="B53" s="3"/>
      <c r="C53" s="3"/>
      <c r="D53" s="3"/>
      <c r="E53" s="3"/>
      <c r="F53" s="3"/>
      <c r="G53" s="3"/>
      <c r="H53" s="3"/>
      <c r="I53" s="3"/>
      <c r="J53" s="3"/>
      <c r="K53" s="3"/>
      <c r="L53" s="3"/>
      <c r="M53" s="3"/>
    </row>
    <row r="54" spans="1:13" ht="14.25" customHeight="1" x14ac:dyDescent="0.4">
      <c r="A54" s="3"/>
      <c r="B54" s="3"/>
      <c r="C54" s="3"/>
      <c r="D54" s="3"/>
      <c r="E54" s="3"/>
      <c r="F54" s="3"/>
      <c r="G54" s="3"/>
      <c r="H54" s="3"/>
      <c r="I54" s="3"/>
      <c r="J54" s="3"/>
      <c r="K54" s="3"/>
      <c r="L54" s="3"/>
      <c r="M54" s="3"/>
    </row>
    <row r="55" spans="1:13" ht="14.25" customHeight="1" x14ac:dyDescent="0.4">
      <c r="A55" s="3"/>
      <c r="B55" s="3"/>
      <c r="C55" s="3"/>
      <c r="D55" s="3"/>
      <c r="E55" s="3"/>
      <c r="F55" s="3"/>
      <c r="G55" s="3"/>
      <c r="H55" s="3"/>
      <c r="I55" s="3"/>
      <c r="J55" s="3"/>
      <c r="K55" s="3"/>
      <c r="L55" s="3"/>
      <c r="M55" s="3"/>
    </row>
    <row r="56" spans="1:13" ht="14.25" customHeight="1" x14ac:dyDescent="0.4">
      <c r="A56" s="3"/>
      <c r="B56" s="4"/>
      <c r="C56" s="3"/>
      <c r="D56" s="3"/>
      <c r="E56" s="3"/>
      <c r="F56" s="3"/>
      <c r="G56" s="3"/>
      <c r="H56" s="3"/>
      <c r="I56" s="3"/>
      <c r="J56" s="3"/>
      <c r="K56" s="3"/>
      <c r="L56" s="3"/>
      <c r="M56" s="3"/>
    </row>
  </sheetData>
  <autoFilter ref="A1:M21" xr:uid="{00000000-0009-0000-0000-000001000000}"/>
  <phoneticPr fontId="17" type="noConversion"/>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59"/>
  <sheetViews>
    <sheetView zoomScale="90" zoomScaleNormal="90" workbookViewId="0">
      <pane xSplit="5" ySplit="1" topLeftCell="F2" activePane="bottomRight" state="frozen"/>
      <selection pane="topRight" activeCell="F1" sqref="F1"/>
      <selection pane="bottomLeft" activeCell="A17" sqref="A17"/>
      <selection pane="bottomRight"/>
    </sheetView>
  </sheetViews>
  <sheetFormatPr defaultColWidth="8.6640625" defaultRowHeight="14.4" x14ac:dyDescent="0.3"/>
  <cols>
    <col min="1" max="1" width="9" customWidth="1"/>
    <col min="2" max="2" width="13" customWidth="1"/>
    <col min="3" max="3" width="8" customWidth="1"/>
    <col min="4" max="4" width="22" customWidth="1"/>
    <col min="5" max="5" width="8" customWidth="1"/>
    <col min="6" max="6" width="22" customWidth="1"/>
    <col min="7" max="7" width="20" customWidth="1"/>
    <col min="8" max="8" width="30" customWidth="1"/>
    <col min="9" max="9" width="9" customWidth="1"/>
    <col min="10" max="10" width="58" customWidth="1"/>
    <col min="11" max="11" width="34" customWidth="1"/>
  </cols>
  <sheetData>
    <row r="1" spans="1:11" ht="30" customHeight="1" x14ac:dyDescent="0.3">
      <c r="A1" s="48" t="s">
        <v>326</v>
      </c>
      <c r="B1" s="48" t="s">
        <v>133</v>
      </c>
      <c r="C1" s="10" t="s">
        <v>100</v>
      </c>
      <c r="D1" s="48" t="s">
        <v>135</v>
      </c>
      <c r="E1" s="48" t="s">
        <v>327</v>
      </c>
      <c r="F1" s="48" t="s">
        <v>328</v>
      </c>
      <c r="G1" s="48" t="s">
        <v>329</v>
      </c>
      <c r="H1" s="48" t="s">
        <v>330</v>
      </c>
      <c r="I1" s="48" t="s">
        <v>331</v>
      </c>
      <c r="J1" s="48" t="s">
        <v>332</v>
      </c>
      <c r="K1" s="48" t="s">
        <v>333</v>
      </c>
    </row>
    <row r="2" spans="1:11" ht="78" customHeight="1" x14ac:dyDescent="0.3">
      <c r="A2" s="16" t="s">
        <v>145</v>
      </c>
      <c r="B2" s="15" t="s">
        <v>144</v>
      </c>
      <c r="C2" s="58" t="s">
        <v>103</v>
      </c>
      <c r="D2" s="49" t="s">
        <v>146</v>
      </c>
      <c r="E2" s="73" t="s">
        <v>334</v>
      </c>
      <c r="F2" s="28" t="s">
        <v>335</v>
      </c>
      <c r="G2" s="49" t="s">
        <v>336</v>
      </c>
      <c r="H2" s="15" t="s">
        <v>337</v>
      </c>
      <c r="I2" s="66" t="s">
        <v>338</v>
      </c>
      <c r="J2" s="49" t="s">
        <v>339</v>
      </c>
      <c r="K2" s="14" t="s">
        <v>340</v>
      </c>
    </row>
    <row r="3" spans="1:11" ht="31.2" customHeight="1" x14ac:dyDescent="0.3">
      <c r="A3" s="16" t="s">
        <v>145</v>
      </c>
      <c r="B3" s="15" t="s">
        <v>144</v>
      </c>
      <c r="C3" s="58" t="s">
        <v>103</v>
      </c>
      <c r="D3" s="49" t="s">
        <v>146</v>
      </c>
      <c r="E3" s="73" t="s">
        <v>334</v>
      </c>
      <c r="F3" s="28" t="s">
        <v>341</v>
      </c>
      <c r="G3" s="49" t="s">
        <v>342</v>
      </c>
      <c r="H3" s="15" t="s">
        <v>343</v>
      </c>
      <c r="I3" s="66" t="s">
        <v>344</v>
      </c>
      <c r="J3" s="22" t="s">
        <v>345</v>
      </c>
      <c r="K3" s="14" t="s">
        <v>346</v>
      </c>
    </row>
    <row r="4" spans="1:11" ht="15" customHeight="1" x14ac:dyDescent="0.3">
      <c r="A4" s="16" t="s">
        <v>145</v>
      </c>
      <c r="B4" s="15" t="s">
        <v>144</v>
      </c>
      <c r="C4" s="58" t="s">
        <v>103</v>
      </c>
      <c r="D4" s="49" t="s">
        <v>146</v>
      </c>
      <c r="E4" s="74" t="s">
        <v>347</v>
      </c>
      <c r="F4" s="28" t="s">
        <v>348</v>
      </c>
      <c r="G4" s="49" t="s">
        <v>349</v>
      </c>
      <c r="H4" s="15" t="s">
        <v>350</v>
      </c>
      <c r="I4" s="66" t="s">
        <v>338</v>
      </c>
      <c r="J4" s="49" t="s">
        <v>351</v>
      </c>
      <c r="K4" s="14" t="s">
        <v>270</v>
      </c>
    </row>
    <row r="5" spans="1:11" ht="15" customHeight="1" x14ac:dyDescent="0.3">
      <c r="A5" s="16" t="s">
        <v>145</v>
      </c>
      <c r="B5" s="15" t="s">
        <v>144</v>
      </c>
      <c r="C5" s="58" t="s">
        <v>103</v>
      </c>
      <c r="D5" s="49" t="s">
        <v>146</v>
      </c>
      <c r="E5" s="74" t="s">
        <v>347</v>
      </c>
      <c r="F5" s="28" t="s">
        <v>352</v>
      </c>
      <c r="G5" s="49" t="s">
        <v>353</v>
      </c>
      <c r="H5" s="15" t="s">
        <v>354</v>
      </c>
      <c r="I5" s="66" t="s">
        <v>338</v>
      </c>
      <c r="J5" s="49" t="s">
        <v>355</v>
      </c>
      <c r="K5" s="49" t="s">
        <v>356</v>
      </c>
    </row>
    <row r="6" spans="1:11" ht="46.8" customHeight="1" x14ac:dyDescent="0.3">
      <c r="A6" s="16" t="s">
        <v>145</v>
      </c>
      <c r="B6" s="15" t="s">
        <v>144</v>
      </c>
      <c r="C6" s="58" t="s">
        <v>103</v>
      </c>
      <c r="D6" s="49" t="s">
        <v>146</v>
      </c>
      <c r="E6" s="74" t="s">
        <v>347</v>
      </c>
      <c r="F6" s="28" t="s">
        <v>357</v>
      </c>
      <c r="G6" s="49" t="s">
        <v>358</v>
      </c>
      <c r="H6" s="15" t="s">
        <v>359</v>
      </c>
      <c r="I6" s="66" t="s">
        <v>338</v>
      </c>
      <c r="J6" s="49" t="s">
        <v>360</v>
      </c>
      <c r="K6" s="14" t="s">
        <v>361</v>
      </c>
    </row>
    <row r="7" spans="1:11" ht="31.2" customHeight="1" x14ac:dyDescent="0.3">
      <c r="A7" s="16" t="s">
        <v>145</v>
      </c>
      <c r="B7" s="15" t="s">
        <v>144</v>
      </c>
      <c r="C7" s="58" t="s">
        <v>103</v>
      </c>
      <c r="D7" s="49" t="s">
        <v>146</v>
      </c>
      <c r="E7" s="74" t="s">
        <v>347</v>
      </c>
      <c r="F7" s="28" t="s">
        <v>362</v>
      </c>
      <c r="G7" s="49" t="s">
        <v>363</v>
      </c>
      <c r="H7" s="15" t="s">
        <v>364</v>
      </c>
      <c r="I7" s="66" t="s">
        <v>338</v>
      </c>
      <c r="J7" s="49" t="s">
        <v>365</v>
      </c>
      <c r="K7" s="14" t="s">
        <v>366</v>
      </c>
    </row>
    <row r="8" spans="1:11" ht="46.8" customHeight="1" x14ac:dyDescent="0.3">
      <c r="A8" s="16" t="s">
        <v>145</v>
      </c>
      <c r="B8" s="15" t="s">
        <v>144</v>
      </c>
      <c r="C8" s="58" t="s">
        <v>103</v>
      </c>
      <c r="D8" s="49" t="s">
        <v>146</v>
      </c>
      <c r="E8" s="74" t="s">
        <v>347</v>
      </c>
      <c r="F8" s="28" t="s">
        <v>367</v>
      </c>
      <c r="G8" s="49" t="s">
        <v>368</v>
      </c>
      <c r="H8" s="15" t="s">
        <v>369</v>
      </c>
      <c r="I8" s="66" t="s">
        <v>344</v>
      </c>
      <c r="J8" s="49" t="s">
        <v>370</v>
      </c>
      <c r="K8" s="14" t="s">
        <v>371</v>
      </c>
    </row>
    <row r="9" spans="1:11" ht="31.2" customHeight="1" x14ac:dyDescent="0.3">
      <c r="A9" s="16" t="s">
        <v>145</v>
      </c>
      <c r="B9" s="15" t="s">
        <v>144</v>
      </c>
      <c r="C9" s="58" t="s">
        <v>103</v>
      </c>
      <c r="D9" s="49" t="s">
        <v>146</v>
      </c>
      <c r="E9" s="74" t="s">
        <v>347</v>
      </c>
      <c r="F9" s="28" t="s">
        <v>372</v>
      </c>
      <c r="G9" s="49" t="s">
        <v>373</v>
      </c>
      <c r="H9" s="15" t="s">
        <v>374</v>
      </c>
      <c r="I9" s="66" t="s">
        <v>344</v>
      </c>
      <c r="J9" s="49" t="s">
        <v>375</v>
      </c>
      <c r="K9" s="14" t="s">
        <v>270</v>
      </c>
    </row>
    <row r="10" spans="1:11" ht="26.25" customHeight="1" x14ac:dyDescent="0.3">
      <c r="A10" s="16" t="s">
        <v>154</v>
      </c>
      <c r="B10" s="15" t="s">
        <v>144</v>
      </c>
      <c r="C10" s="58" t="s">
        <v>103</v>
      </c>
      <c r="D10" s="49" t="s">
        <v>155</v>
      </c>
      <c r="E10" s="73" t="s">
        <v>334</v>
      </c>
      <c r="F10" s="28" t="s">
        <v>348</v>
      </c>
      <c r="G10" s="49" t="s">
        <v>349</v>
      </c>
      <c r="H10" s="15" t="s">
        <v>350</v>
      </c>
      <c r="I10" s="66" t="s">
        <v>338</v>
      </c>
      <c r="J10" s="49" t="s">
        <v>351</v>
      </c>
      <c r="K10" s="14" t="s">
        <v>270</v>
      </c>
    </row>
    <row r="11" spans="1:11" ht="46.8" customHeight="1" x14ac:dyDescent="0.3">
      <c r="A11" s="16" t="s">
        <v>154</v>
      </c>
      <c r="B11" s="15" t="s">
        <v>144</v>
      </c>
      <c r="C11" s="58" t="s">
        <v>103</v>
      </c>
      <c r="D11" s="49" t="s">
        <v>155</v>
      </c>
      <c r="E11" s="73" t="s">
        <v>334</v>
      </c>
      <c r="F11" s="28" t="s">
        <v>357</v>
      </c>
      <c r="G11" s="49" t="s">
        <v>358</v>
      </c>
      <c r="H11" s="15" t="s">
        <v>359</v>
      </c>
      <c r="I11" s="66" t="s">
        <v>338</v>
      </c>
      <c r="J11" s="49" t="s">
        <v>376</v>
      </c>
      <c r="K11" s="14" t="s">
        <v>361</v>
      </c>
    </row>
    <row r="12" spans="1:11" ht="15" customHeight="1" x14ac:dyDescent="0.3">
      <c r="A12" s="16" t="s">
        <v>154</v>
      </c>
      <c r="B12" s="15" t="s">
        <v>144</v>
      </c>
      <c r="C12" s="58" t="s">
        <v>103</v>
      </c>
      <c r="D12" s="49" t="s">
        <v>155</v>
      </c>
      <c r="E12" s="73" t="s">
        <v>334</v>
      </c>
      <c r="F12" s="28" t="s">
        <v>377</v>
      </c>
      <c r="G12" s="49" t="s">
        <v>378</v>
      </c>
      <c r="H12" s="15" t="s">
        <v>30</v>
      </c>
      <c r="I12" s="66" t="s">
        <v>338</v>
      </c>
      <c r="J12" s="49" t="s">
        <v>379</v>
      </c>
      <c r="K12" s="14" t="s">
        <v>380</v>
      </c>
    </row>
    <row r="13" spans="1:11" ht="15" customHeight="1" x14ac:dyDescent="0.3">
      <c r="A13" s="16" t="s">
        <v>154</v>
      </c>
      <c r="B13" s="15" t="s">
        <v>144</v>
      </c>
      <c r="C13" s="58" t="s">
        <v>103</v>
      </c>
      <c r="D13" s="49" t="s">
        <v>155</v>
      </c>
      <c r="E13" s="73" t="s">
        <v>334</v>
      </c>
      <c r="F13" s="28" t="s">
        <v>381</v>
      </c>
      <c r="G13" s="49" t="s">
        <v>382</v>
      </c>
      <c r="H13" s="15" t="s">
        <v>383</v>
      </c>
      <c r="I13" s="66" t="s">
        <v>338</v>
      </c>
      <c r="J13" s="49" t="s">
        <v>384</v>
      </c>
      <c r="K13" s="14">
        <v>10</v>
      </c>
    </row>
    <row r="14" spans="1:11" ht="15" customHeight="1" x14ac:dyDescent="0.3">
      <c r="A14" s="16" t="s">
        <v>154</v>
      </c>
      <c r="B14" s="15" t="s">
        <v>144</v>
      </c>
      <c r="C14" s="58" t="s">
        <v>103</v>
      </c>
      <c r="D14" s="49" t="s">
        <v>155</v>
      </c>
      <c r="E14" s="73" t="s">
        <v>334</v>
      </c>
      <c r="F14" s="28" t="s">
        <v>385</v>
      </c>
      <c r="G14" s="49" t="s">
        <v>386</v>
      </c>
      <c r="H14" s="15" t="s">
        <v>383</v>
      </c>
      <c r="I14" s="66" t="s">
        <v>338</v>
      </c>
      <c r="J14" s="14" t="s">
        <v>387</v>
      </c>
      <c r="K14" s="14">
        <v>0</v>
      </c>
    </row>
    <row r="15" spans="1:11" ht="31.2" customHeight="1" x14ac:dyDescent="0.3">
      <c r="A15" s="16" t="s">
        <v>154</v>
      </c>
      <c r="B15" s="15" t="s">
        <v>144</v>
      </c>
      <c r="C15" s="58" t="s">
        <v>103</v>
      </c>
      <c r="D15" s="49" t="s">
        <v>155</v>
      </c>
      <c r="E15" s="74" t="s">
        <v>347</v>
      </c>
      <c r="F15" s="28" t="s">
        <v>388</v>
      </c>
      <c r="G15" s="49" t="s">
        <v>389</v>
      </c>
      <c r="H15" s="15" t="s">
        <v>390</v>
      </c>
      <c r="I15" s="66" t="s">
        <v>338</v>
      </c>
      <c r="J15" s="49" t="s">
        <v>391</v>
      </c>
      <c r="K15" s="14" t="s">
        <v>270</v>
      </c>
    </row>
    <row r="16" spans="1:11" ht="15" customHeight="1" x14ac:dyDescent="0.3">
      <c r="A16" s="16" t="s">
        <v>154</v>
      </c>
      <c r="B16" s="15" t="s">
        <v>144</v>
      </c>
      <c r="C16" s="58" t="s">
        <v>103</v>
      </c>
      <c r="D16" s="49" t="s">
        <v>155</v>
      </c>
      <c r="E16" s="74" t="s">
        <v>347</v>
      </c>
      <c r="F16" s="28" t="s">
        <v>392</v>
      </c>
      <c r="G16" s="49" t="s">
        <v>393</v>
      </c>
      <c r="H16" s="15" t="s">
        <v>394</v>
      </c>
      <c r="I16" s="66" t="s">
        <v>338</v>
      </c>
      <c r="J16" s="49" t="s">
        <v>395</v>
      </c>
      <c r="K16" s="49" t="s">
        <v>396</v>
      </c>
    </row>
    <row r="17" spans="1:11" ht="15" customHeight="1" x14ac:dyDescent="0.3">
      <c r="A17" s="16" t="s">
        <v>154</v>
      </c>
      <c r="B17" s="15" t="s">
        <v>144</v>
      </c>
      <c r="C17" s="58" t="s">
        <v>103</v>
      </c>
      <c r="D17" s="49" t="s">
        <v>155</v>
      </c>
      <c r="E17" s="74" t="s">
        <v>347</v>
      </c>
      <c r="F17" s="28" t="s">
        <v>397</v>
      </c>
      <c r="G17" s="49" t="s">
        <v>398</v>
      </c>
      <c r="H17" s="15" t="s">
        <v>383</v>
      </c>
      <c r="I17" s="66" t="s">
        <v>338</v>
      </c>
      <c r="J17" s="49" t="s">
        <v>399</v>
      </c>
      <c r="K17" s="14" t="s">
        <v>400</v>
      </c>
    </row>
    <row r="18" spans="1:11" ht="23.25" customHeight="1" x14ac:dyDescent="0.3">
      <c r="A18" s="16" t="s">
        <v>154</v>
      </c>
      <c r="B18" s="15" t="s">
        <v>144</v>
      </c>
      <c r="C18" s="58" t="s">
        <v>103</v>
      </c>
      <c r="D18" s="49" t="s">
        <v>155</v>
      </c>
      <c r="E18" s="74" t="s">
        <v>347</v>
      </c>
      <c r="F18" s="28" t="s">
        <v>401</v>
      </c>
      <c r="G18" s="49" t="s">
        <v>402</v>
      </c>
      <c r="H18" s="15" t="s">
        <v>403</v>
      </c>
      <c r="I18" s="66" t="s">
        <v>338</v>
      </c>
      <c r="J18" s="49" t="s">
        <v>404</v>
      </c>
      <c r="K18" s="49" t="s">
        <v>405</v>
      </c>
    </row>
    <row r="19" spans="1:11" ht="46.8" customHeight="1" x14ac:dyDescent="0.3">
      <c r="A19" s="16" t="s">
        <v>154</v>
      </c>
      <c r="B19" s="15" t="s">
        <v>144</v>
      </c>
      <c r="C19" s="58" t="s">
        <v>103</v>
      </c>
      <c r="D19" s="49" t="s">
        <v>155</v>
      </c>
      <c r="E19" s="74" t="s">
        <v>347</v>
      </c>
      <c r="F19" s="28" t="s">
        <v>406</v>
      </c>
      <c r="G19" s="49" t="s">
        <v>407</v>
      </c>
      <c r="H19" s="15" t="s">
        <v>408</v>
      </c>
      <c r="I19" s="66" t="s">
        <v>344</v>
      </c>
      <c r="J19" s="49" t="s">
        <v>409</v>
      </c>
      <c r="K19" s="49" t="s">
        <v>410</v>
      </c>
    </row>
    <row r="20" spans="1:11" ht="15" customHeight="1" x14ac:dyDescent="0.3">
      <c r="A20" s="16" t="s">
        <v>163</v>
      </c>
      <c r="B20" s="15" t="s">
        <v>144</v>
      </c>
      <c r="C20" s="58" t="s">
        <v>103</v>
      </c>
      <c r="D20" s="49" t="s">
        <v>164</v>
      </c>
      <c r="E20" s="73" t="s">
        <v>334</v>
      </c>
      <c r="F20" s="28" t="s">
        <v>411</v>
      </c>
      <c r="G20" s="49" t="s">
        <v>412</v>
      </c>
      <c r="H20" s="15" t="s">
        <v>413</v>
      </c>
      <c r="I20" s="66" t="s">
        <v>338</v>
      </c>
      <c r="J20" s="49" t="s">
        <v>414</v>
      </c>
      <c r="K20" s="14" t="s">
        <v>270</v>
      </c>
    </row>
    <row r="21" spans="1:11" ht="15" customHeight="1" x14ac:dyDescent="0.3">
      <c r="A21" s="16" t="s">
        <v>163</v>
      </c>
      <c r="B21" s="15" t="s">
        <v>144</v>
      </c>
      <c r="C21" s="58" t="s">
        <v>103</v>
      </c>
      <c r="D21" s="49" t="s">
        <v>164</v>
      </c>
      <c r="E21" s="73" t="s">
        <v>334</v>
      </c>
      <c r="F21" s="28" t="s">
        <v>348</v>
      </c>
      <c r="G21" s="49" t="s">
        <v>349</v>
      </c>
      <c r="H21" s="15" t="s">
        <v>350</v>
      </c>
      <c r="I21" s="66" t="s">
        <v>338</v>
      </c>
      <c r="J21" s="49" t="s">
        <v>351</v>
      </c>
      <c r="K21" s="14" t="s">
        <v>270</v>
      </c>
    </row>
    <row r="22" spans="1:11" ht="15" customHeight="1" x14ac:dyDescent="0.3">
      <c r="A22" s="16" t="s">
        <v>163</v>
      </c>
      <c r="B22" s="15" t="s">
        <v>144</v>
      </c>
      <c r="C22" s="58" t="s">
        <v>103</v>
      </c>
      <c r="D22" s="49" t="s">
        <v>164</v>
      </c>
      <c r="E22" s="73" t="s">
        <v>334</v>
      </c>
      <c r="F22" s="28" t="s">
        <v>415</v>
      </c>
      <c r="G22" s="49" t="s">
        <v>416</v>
      </c>
      <c r="H22" s="15" t="s">
        <v>417</v>
      </c>
      <c r="I22" s="66" t="s">
        <v>338</v>
      </c>
      <c r="J22" s="14" t="s">
        <v>418</v>
      </c>
      <c r="K22" s="14" t="s">
        <v>419</v>
      </c>
    </row>
    <row r="23" spans="1:11" ht="31.2" customHeight="1" x14ac:dyDescent="0.3">
      <c r="A23" s="16" t="s">
        <v>163</v>
      </c>
      <c r="B23" s="15" t="s">
        <v>144</v>
      </c>
      <c r="C23" s="58" t="s">
        <v>103</v>
      </c>
      <c r="D23" s="49" t="s">
        <v>164</v>
      </c>
      <c r="E23" s="73" t="s">
        <v>334</v>
      </c>
      <c r="F23" s="28" t="s">
        <v>357</v>
      </c>
      <c r="G23" s="49" t="s">
        <v>358</v>
      </c>
      <c r="H23" s="15" t="s">
        <v>359</v>
      </c>
      <c r="I23" s="66" t="s">
        <v>338</v>
      </c>
      <c r="J23" s="49" t="s">
        <v>420</v>
      </c>
      <c r="K23" s="14" t="s">
        <v>421</v>
      </c>
    </row>
    <row r="24" spans="1:11" ht="31.2" customHeight="1" x14ac:dyDescent="0.3">
      <c r="A24" s="16" t="s">
        <v>163</v>
      </c>
      <c r="B24" s="15" t="s">
        <v>144</v>
      </c>
      <c r="C24" s="58" t="s">
        <v>103</v>
      </c>
      <c r="D24" s="49" t="s">
        <v>164</v>
      </c>
      <c r="E24" s="73" t="s">
        <v>334</v>
      </c>
      <c r="F24" s="28" t="s">
        <v>372</v>
      </c>
      <c r="G24" s="49" t="s">
        <v>373</v>
      </c>
      <c r="H24" s="15" t="s">
        <v>374</v>
      </c>
      <c r="I24" s="66" t="s">
        <v>344</v>
      </c>
      <c r="J24" s="49" t="s">
        <v>422</v>
      </c>
      <c r="K24" s="14" t="s">
        <v>270</v>
      </c>
    </row>
    <row r="25" spans="1:11" ht="15" customHeight="1" x14ac:dyDescent="0.3">
      <c r="A25" s="16" t="s">
        <v>163</v>
      </c>
      <c r="B25" s="15" t="s">
        <v>144</v>
      </c>
      <c r="C25" s="58" t="s">
        <v>103</v>
      </c>
      <c r="D25" s="49" t="s">
        <v>164</v>
      </c>
      <c r="E25" s="74" t="s">
        <v>347</v>
      </c>
      <c r="F25" s="28" t="s">
        <v>423</v>
      </c>
      <c r="G25" s="49" t="s">
        <v>424</v>
      </c>
      <c r="H25" s="15" t="s">
        <v>425</v>
      </c>
      <c r="I25" s="66" t="s">
        <v>338</v>
      </c>
      <c r="J25" s="49" t="s">
        <v>426</v>
      </c>
      <c r="K25" s="14" t="s">
        <v>270</v>
      </c>
    </row>
    <row r="26" spans="1:11" ht="15" customHeight="1" x14ac:dyDescent="0.3">
      <c r="A26" s="16" t="s">
        <v>163</v>
      </c>
      <c r="B26" s="15" t="s">
        <v>144</v>
      </c>
      <c r="C26" s="58" t="s">
        <v>103</v>
      </c>
      <c r="D26" s="49" t="s">
        <v>164</v>
      </c>
      <c r="E26" s="74" t="s">
        <v>347</v>
      </c>
      <c r="F26" s="28" t="s">
        <v>427</v>
      </c>
      <c r="G26" s="14" t="s">
        <v>101</v>
      </c>
      <c r="H26" s="15" t="s">
        <v>383</v>
      </c>
      <c r="I26" s="66" t="s">
        <v>338</v>
      </c>
      <c r="J26" s="49" t="s">
        <v>428</v>
      </c>
      <c r="K26" s="14" t="s">
        <v>429</v>
      </c>
    </row>
    <row r="27" spans="1:11" ht="15" customHeight="1" x14ac:dyDescent="0.3">
      <c r="A27" s="16" t="s">
        <v>163</v>
      </c>
      <c r="B27" s="15" t="s">
        <v>144</v>
      </c>
      <c r="C27" s="58" t="s">
        <v>103</v>
      </c>
      <c r="D27" s="49" t="s">
        <v>164</v>
      </c>
      <c r="E27" s="74" t="s">
        <v>347</v>
      </c>
      <c r="F27" s="28" t="s">
        <v>430</v>
      </c>
      <c r="G27" s="14" t="s">
        <v>431</v>
      </c>
      <c r="H27" s="15" t="s">
        <v>432</v>
      </c>
      <c r="I27" s="66" t="s">
        <v>338</v>
      </c>
      <c r="J27" s="49" t="s">
        <v>433</v>
      </c>
      <c r="K27" s="14" t="s">
        <v>270</v>
      </c>
    </row>
    <row r="28" spans="1:11" ht="23.25" customHeight="1" x14ac:dyDescent="0.3">
      <c r="A28" s="18" t="s">
        <v>172</v>
      </c>
      <c r="B28" s="15" t="s">
        <v>144</v>
      </c>
      <c r="C28" s="59" t="s">
        <v>105</v>
      </c>
      <c r="D28" s="49" t="s">
        <v>173</v>
      </c>
      <c r="E28" s="73" t="s">
        <v>334</v>
      </c>
      <c r="F28" s="28" t="s">
        <v>348</v>
      </c>
      <c r="G28" s="49" t="s">
        <v>349</v>
      </c>
      <c r="H28" s="15" t="s">
        <v>350</v>
      </c>
      <c r="I28" s="66" t="s">
        <v>338</v>
      </c>
      <c r="J28" s="49" t="s">
        <v>351</v>
      </c>
      <c r="K28" s="14" t="s">
        <v>270</v>
      </c>
    </row>
    <row r="29" spans="1:11" ht="15" customHeight="1" x14ac:dyDescent="0.3">
      <c r="A29" s="18" t="s">
        <v>172</v>
      </c>
      <c r="B29" s="15" t="s">
        <v>144</v>
      </c>
      <c r="C29" s="59" t="s">
        <v>105</v>
      </c>
      <c r="D29" s="49" t="s">
        <v>173</v>
      </c>
      <c r="E29" s="73" t="s">
        <v>334</v>
      </c>
      <c r="F29" s="28" t="s">
        <v>411</v>
      </c>
      <c r="G29" s="49" t="s">
        <v>412</v>
      </c>
      <c r="H29" s="15" t="s">
        <v>413</v>
      </c>
      <c r="I29" s="66" t="s">
        <v>338</v>
      </c>
      <c r="J29" s="49" t="s">
        <v>414</v>
      </c>
      <c r="K29" s="14" t="s">
        <v>270</v>
      </c>
    </row>
    <row r="30" spans="1:11" ht="15" customHeight="1" x14ac:dyDescent="0.3">
      <c r="A30" s="18" t="s">
        <v>172</v>
      </c>
      <c r="B30" s="15" t="s">
        <v>144</v>
      </c>
      <c r="C30" s="59" t="s">
        <v>105</v>
      </c>
      <c r="D30" s="49" t="s">
        <v>173</v>
      </c>
      <c r="E30" s="73" t="s">
        <v>334</v>
      </c>
      <c r="F30" s="28" t="s">
        <v>434</v>
      </c>
      <c r="G30" s="49" t="s">
        <v>435</v>
      </c>
      <c r="H30" s="15" t="s">
        <v>364</v>
      </c>
      <c r="I30" s="66" t="s">
        <v>338</v>
      </c>
      <c r="J30" s="49" t="s">
        <v>436</v>
      </c>
      <c r="K30" s="14" t="s">
        <v>270</v>
      </c>
    </row>
    <row r="31" spans="1:11" ht="31.2" customHeight="1" x14ac:dyDescent="0.3">
      <c r="A31" s="18" t="s">
        <v>172</v>
      </c>
      <c r="B31" s="15" t="s">
        <v>144</v>
      </c>
      <c r="C31" s="59" t="s">
        <v>105</v>
      </c>
      <c r="D31" s="49" t="s">
        <v>173</v>
      </c>
      <c r="E31" s="73" t="s">
        <v>334</v>
      </c>
      <c r="F31" s="28" t="s">
        <v>437</v>
      </c>
      <c r="G31" s="49" t="s">
        <v>438</v>
      </c>
      <c r="H31" s="15" t="s">
        <v>439</v>
      </c>
      <c r="I31" s="66" t="s">
        <v>344</v>
      </c>
      <c r="J31" s="49" t="s">
        <v>440</v>
      </c>
      <c r="K31" s="14" t="s">
        <v>441</v>
      </c>
    </row>
    <row r="32" spans="1:11" ht="29.25" customHeight="1" x14ac:dyDescent="0.3">
      <c r="A32" s="18" t="s">
        <v>172</v>
      </c>
      <c r="B32" s="15" t="s">
        <v>144</v>
      </c>
      <c r="C32" s="59" t="s">
        <v>105</v>
      </c>
      <c r="D32" s="49" t="s">
        <v>173</v>
      </c>
      <c r="E32" s="74" t="s">
        <v>347</v>
      </c>
      <c r="F32" s="28" t="s">
        <v>442</v>
      </c>
      <c r="G32" s="49" t="s">
        <v>443</v>
      </c>
      <c r="H32" s="15" t="s">
        <v>444</v>
      </c>
      <c r="I32" s="66" t="s">
        <v>338</v>
      </c>
      <c r="J32" s="49" t="s">
        <v>445</v>
      </c>
      <c r="K32" s="14" t="s">
        <v>270</v>
      </c>
    </row>
    <row r="33" spans="1:11" ht="31.2" customHeight="1" x14ac:dyDescent="0.3">
      <c r="A33" s="18" t="s">
        <v>172</v>
      </c>
      <c r="B33" s="15" t="s">
        <v>144</v>
      </c>
      <c r="C33" s="59" t="s">
        <v>105</v>
      </c>
      <c r="D33" s="49" t="s">
        <v>173</v>
      </c>
      <c r="E33" s="74" t="s">
        <v>347</v>
      </c>
      <c r="F33" s="28" t="s">
        <v>446</v>
      </c>
      <c r="G33" s="49" t="s">
        <v>447</v>
      </c>
      <c r="H33" s="15" t="s">
        <v>448</v>
      </c>
      <c r="I33" s="66" t="s">
        <v>338</v>
      </c>
      <c r="J33" s="49" t="s">
        <v>449</v>
      </c>
      <c r="K33" s="14" t="s">
        <v>450</v>
      </c>
    </row>
    <row r="34" spans="1:11" ht="46.8" customHeight="1" x14ac:dyDescent="0.3">
      <c r="A34" s="18" t="s">
        <v>172</v>
      </c>
      <c r="B34" s="15" t="s">
        <v>144</v>
      </c>
      <c r="C34" s="59" t="s">
        <v>105</v>
      </c>
      <c r="D34" s="49" t="s">
        <v>173</v>
      </c>
      <c r="E34" s="74" t="s">
        <v>347</v>
      </c>
      <c r="F34" s="28" t="s">
        <v>451</v>
      </c>
      <c r="G34" s="49" t="s">
        <v>452</v>
      </c>
      <c r="H34" s="15" t="s">
        <v>453</v>
      </c>
      <c r="I34" s="66" t="s">
        <v>338</v>
      </c>
      <c r="J34" s="49" t="s">
        <v>454</v>
      </c>
      <c r="K34" s="14" t="s">
        <v>455</v>
      </c>
    </row>
    <row r="35" spans="1:11" ht="15" customHeight="1" x14ac:dyDescent="0.3">
      <c r="A35" s="18" t="s">
        <v>181</v>
      </c>
      <c r="B35" s="15" t="s">
        <v>144</v>
      </c>
      <c r="C35" s="59" t="s">
        <v>105</v>
      </c>
      <c r="D35" s="49" t="s">
        <v>182</v>
      </c>
      <c r="E35" s="73" t="s">
        <v>334</v>
      </c>
      <c r="F35" s="28" t="s">
        <v>348</v>
      </c>
      <c r="G35" s="49" t="s">
        <v>349</v>
      </c>
      <c r="H35" s="15" t="s">
        <v>350</v>
      </c>
      <c r="I35" s="66" t="s">
        <v>338</v>
      </c>
      <c r="J35" s="49" t="s">
        <v>351</v>
      </c>
      <c r="K35" s="14" t="s">
        <v>270</v>
      </c>
    </row>
    <row r="36" spans="1:11" ht="23.25" customHeight="1" x14ac:dyDescent="0.3">
      <c r="A36" s="18" t="s">
        <v>181</v>
      </c>
      <c r="B36" s="15" t="s">
        <v>144</v>
      </c>
      <c r="C36" s="59" t="s">
        <v>105</v>
      </c>
      <c r="D36" s="49" t="s">
        <v>182</v>
      </c>
      <c r="E36" s="73" t="s">
        <v>334</v>
      </c>
      <c r="F36" s="28" t="s">
        <v>442</v>
      </c>
      <c r="G36" s="49" t="s">
        <v>443</v>
      </c>
      <c r="H36" s="15" t="s">
        <v>444</v>
      </c>
      <c r="I36" s="66" t="s">
        <v>338</v>
      </c>
      <c r="J36" s="49" t="s">
        <v>445</v>
      </c>
      <c r="K36" s="14" t="s">
        <v>270</v>
      </c>
    </row>
    <row r="37" spans="1:11" ht="15" customHeight="1" x14ac:dyDescent="0.3">
      <c r="A37" s="18" t="s">
        <v>181</v>
      </c>
      <c r="B37" s="15" t="s">
        <v>144</v>
      </c>
      <c r="C37" s="59" t="s">
        <v>105</v>
      </c>
      <c r="D37" s="49" t="s">
        <v>182</v>
      </c>
      <c r="E37" s="73" t="s">
        <v>334</v>
      </c>
      <c r="F37" s="28" t="s">
        <v>411</v>
      </c>
      <c r="G37" s="49" t="s">
        <v>412</v>
      </c>
      <c r="H37" s="15" t="s">
        <v>413</v>
      </c>
      <c r="I37" s="66" t="s">
        <v>338</v>
      </c>
      <c r="J37" s="49" t="s">
        <v>414</v>
      </c>
      <c r="K37" s="14" t="s">
        <v>270</v>
      </c>
    </row>
    <row r="38" spans="1:11" ht="15" customHeight="1" x14ac:dyDescent="0.3">
      <c r="A38" s="18" t="s">
        <v>181</v>
      </c>
      <c r="B38" s="15" t="s">
        <v>144</v>
      </c>
      <c r="C38" s="59" t="s">
        <v>105</v>
      </c>
      <c r="D38" s="49" t="s">
        <v>182</v>
      </c>
      <c r="E38" s="73" t="s">
        <v>334</v>
      </c>
      <c r="F38" s="28" t="s">
        <v>434</v>
      </c>
      <c r="G38" s="49" t="s">
        <v>435</v>
      </c>
      <c r="H38" s="15" t="s">
        <v>364</v>
      </c>
      <c r="I38" s="66" t="s">
        <v>338</v>
      </c>
      <c r="J38" s="49" t="s">
        <v>436</v>
      </c>
      <c r="K38" s="14" t="s">
        <v>270</v>
      </c>
    </row>
    <row r="39" spans="1:11" ht="31.2" customHeight="1" x14ac:dyDescent="0.3">
      <c r="A39" s="18" t="s">
        <v>181</v>
      </c>
      <c r="B39" s="15" t="s">
        <v>144</v>
      </c>
      <c r="C39" s="59" t="s">
        <v>105</v>
      </c>
      <c r="D39" s="49" t="s">
        <v>182</v>
      </c>
      <c r="E39" s="73" t="s">
        <v>334</v>
      </c>
      <c r="F39" s="28" t="s">
        <v>437</v>
      </c>
      <c r="G39" s="49" t="s">
        <v>438</v>
      </c>
      <c r="H39" s="15" t="s">
        <v>439</v>
      </c>
      <c r="I39" s="66" t="s">
        <v>344</v>
      </c>
      <c r="J39" s="49" t="s">
        <v>440</v>
      </c>
      <c r="K39" s="14" t="s">
        <v>441</v>
      </c>
    </row>
    <row r="40" spans="1:11" ht="15" customHeight="1" x14ac:dyDescent="0.3">
      <c r="A40" s="18" t="s">
        <v>181</v>
      </c>
      <c r="B40" s="15" t="s">
        <v>144</v>
      </c>
      <c r="C40" s="59" t="s">
        <v>105</v>
      </c>
      <c r="D40" s="49" t="s">
        <v>182</v>
      </c>
      <c r="E40" s="74" t="s">
        <v>347</v>
      </c>
      <c r="F40" s="28" t="s">
        <v>456</v>
      </c>
      <c r="G40" s="49" t="s">
        <v>457</v>
      </c>
      <c r="H40" s="15" t="s">
        <v>458</v>
      </c>
      <c r="I40" s="66" t="s">
        <v>338</v>
      </c>
      <c r="J40" s="49" t="s">
        <v>459</v>
      </c>
      <c r="K40" s="14" t="s">
        <v>270</v>
      </c>
    </row>
    <row r="41" spans="1:11" ht="31.2" customHeight="1" x14ac:dyDescent="0.3">
      <c r="A41" s="18" t="s">
        <v>181</v>
      </c>
      <c r="B41" s="15" t="s">
        <v>144</v>
      </c>
      <c r="C41" s="59" t="s">
        <v>105</v>
      </c>
      <c r="D41" s="49" t="s">
        <v>182</v>
      </c>
      <c r="E41" s="74" t="s">
        <v>347</v>
      </c>
      <c r="F41" s="28" t="s">
        <v>460</v>
      </c>
      <c r="G41" s="49" t="s">
        <v>461</v>
      </c>
      <c r="H41" s="15" t="s">
        <v>462</v>
      </c>
      <c r="I41" s="66" t="s">
        <v>338</v>
      </c>
      <c r="J41" s="49" t="s">
        <v>463</v>
      </c>
      <c r="K41" s="14" t="s">
        <v>270</v>
      </c>
    </row>
    <row r="42" spans="1:11" ht="46.8" customHeight="1" x14ac:dyDescent="0.3">
      <c r="A42" s="18" t="s">
        <v>181</v>
      </c>
      <c r="B42" s="15" t="s">
        <v>144</v>
      </c>
      <c r="C42" s="59" t="s">
        <v>105</v>
      </c>
      <c r="D42" s="49" t="s">
        <v>182</v>
      </c>
      <c r="E42" s="74" t="s">
        <v>347</v>
      </c>
      <c r="F42" s="28" t="s">
        <v>451</v>
      </c>
      <c r="G42" s="49" t="s">
        <v>452</v>
      </c>
      <c r="H42" s="15" t="s">
        <v>453</v>
      </c>
      <c r="I42" s="66" t="s">
        <v>338</v>
      </c>
      <c r="J42" s="49" t="s">
        <v>454</v>
      </c>
      <c r="K42" s="14" t="s">
        <v>455</v>
      </c>
    </row>
    <row r="43" spans="1:11" ht="15" customHeight="1" x14ac:dyDescent="0.3">
      <c r="A43" s="19" t="s">
        <v>190</v>
      </c>
      <c r="B43" s="15" t="s">
        <v>144</v>
      </c>
      <c r="C43" s="60" t="s">
        <v>107</v>
      </c>
      <c r="D43" s="49" t="s">
        <v>191</v>
      </c>
      <c r="E43" s="73" t="s">
        <v>334</v>
      </c>
      <c r="F43" s="28" t="s">
        <v>442</v>
      </c>
      <c r="G43" s="49" t="s">
        <v>443</v>
      </c>
      <c r="H43" s="15" t="s">
        <v>444</v>
      </c>
      <c r="I43" s="66" t="s">
        <v>338</v>
      </c>
      <c r="J43" s="49" t="s">
        <v>445</v>
      </c>
      <c r="K43" s="14" t="s">
        <v>270</v>
      </c>
    </row>
    <row r="44" spans="1:11" ht="23.25" customHeight="1" x14ac:dyDescent="0.3">
      <c r="A44" s="19" t="s">
        <v>190</v>
      </c>
      <c r="B44" s="15" t="s">
        <v>144</v>
      </c>
      <c r="C44" s="60" t="s">
        <v>107</v>
      </c>
      <c r="D44" s="49" t="s">
        <v>191</v>
      </c>
      <c r="E44" s="73" t="s">
        <v>334</v>
      </c>
      <c r="F44" s="28" t="s">
        <v>456</v>
      </c>
      <c r="G44" s="49" t="s">
        <v>457</v>
      </c>
      <c r="H44" s="15" t="s">
        <v>458</v>
      </c>
      <c r="I44" s="66" t="s">
        <v>338</v>
      </c>
      <c r="J44" s="49" t="s">
        <v>459</v>
      </c>
      <c r="K44" s="14" t="s">
        <v>270</v>
      </c>
    </row>
    <row r="45" spans="1:11" ht="15" customHeight="1" x14ac:dyDescent="0.3">
      <c r="A45" s="19" t="s">
        <v>190</v>
      </c>
      <c r="B45" s="15" t="s">
        <v>144</v>
      </c>
      <c r="C45" s="60" t="s">
        <v>107</v>
      </c>
      <c r="D45" s="49" t="s">
        <v>191</v>
      </c>
      <c r="E45" s="73" t="s">
        <v>334</v>
      </c>
      <c r="F45" s="28" t="s">
        <v>411</v>
      </c>
      <c r="G45" s="49" t="s">
        <v>412</v>
      </c>
      <c r="H45" s="15" t="s">
        <v>413</v>
      </c>
      <c r="I45" s="66" t="s">
        <v>338</v>
      </c>
      <c r="J45" s="49" t="s">
        <v>414</v>
      </c>
      <c r="K45" s="14" t="s">
        <v>270</v>
      </c>
    </row>
    <row r="46" spans="1:11" ht="31.2" customHeight="1" x14ac:dyDescent="0.3">
      <c r="A46" s="19" t="s">
        <v>190</v>
      </c>
      <c r="B46" s="15" t="s">
        <v>144</v>
      </c>
      <c r="C46" s="60" t="s">
        <v>107</v>
      </c>
      <c r="D46" s="49" t="s">
        <v>191</v>
      </c>
      <c r="E46" s="73" t="s">
        <v>334</v>
      </c>
      <c r="F46" s="28" t="s">
        <v>357</v>
      </c>
      <c r="G46" s="49" t="s">
        <v>358</v>
      </c>
      <c r="H46" s="15" t="s">
        <v>359</v>
      </c>
      <c r="I46" s="66" t="s">
        <v>338</v>
      </c>
      <c r="J46" s="49" t="s">
        <v>420</v>
      </c>
      <c r="K46" s="14" t="s">
        <v>421</v>
      </c>
    </row>
    <row r="47" spans="1:11" ht="31.2" customHeight="1" x14ac:dyDescent="0.3">
      <c r="A47" s="19" t="s">
        <v>190</v>
      </c>
      <c r="B47" s="15" t="s">
        <v>144</v>
      </c>
      <c r="C47" s="60" t="s">
        <v>107</v>
      </c>
      <c r="D47" s="49" t="s">
        <v>191</v>
      </c>
      <c r="E47" s="73" t="s">
        <v>334</v>
      </c>
      <c r="F47" s="28" t="s">
        <v>464</v>
      </c>
      <c r="G47" s="49" t="s">
        <v>465</v>
      </c>
      <c r="H47" s="15" t="s">
        <v>466</v>
      </c>
      <c r="I47" s="66" t="s">
        <v>338</v>
      </c>
      <c r="J47" s="49" t="s">
        <v>467</v>
      </c>
      <c r="K47" s="14" t="s">
        <v>270</v>
      </c>
    </row>
    <row r="48" spans="1:11" ht="15" customHeight="1" x14ac:dyDescent="0.3">
      <c r="A48" s="19" t="s">
        <v>190</v>
      </c>
      <c r="B48" s="15" t="s">
        <v>144</v>
      </c>
      <c r="C48" s="60" t="s">
        <v>107</v>
      </c>
      <c r="D48" s="49" t="s">
        <v>191</v>
      </c>
      <c r="E48" s="73" t="s">
        <v>334</v>
      </c>
      <c r="F48" s="28" t="s">
        <v>434</v>
      </c>
      <c r="G48" s="49" t="s">
        <v>435</v>
      </c>
      <c r="H48" s="15" t="s">
        <v>364</v>
      </c>
      <c r="I48" s="66" t="s">
        <v>338</v>
      </c>
      <c r="J48" s="49" t="s">
        <v>436</v>
      </c>
      <c r="K48" s="14" t="s">
        <v>270</v>
      </c>
    </row>
    <row r="49" spans="1:11" ht="31.2" customHeight="1" x14ac:dyDescent="0.3">
      <c r="A49" s="19" t="s">
        <v>190</v>
      </c>
      <c r="B49" s="15" t="s">
        <v>144</v>
      </c>
      <c r="C49" s="60" t="s">
        <v>107</v>
      </c>
      <c r="D49" s="49" t="s">
        <v>191</v>
      </c>
      <c r="E49" s="73" t="s">
        <v>334</v>
      </c>
      <c r="F49" s="28" t="s">
        <v>437</v>
      </c>
      <c r="G49" s="49" t="s">
        <v>438</v>
      </c>
      <c r="H49" s="15" t="s">
        <v>439</v>
      </c>
      <c r="I49" s="66" t="s">
        <v>344</v>
      </c>
      <c r="J49" s="49" t="s">
        <v>468</v>
      </c>
      <c r="K49" s="14" t="s">
        <v>469</v>
      </c>
    </row>
    <row r="50" spans="1:11" ht="15" customHeight="1" x14ac:dyDescent="0.3">
      <c r="A50" s="19" t="s">
        <v>190</v>
      </c>
      <c r="B50" s="15" t="s">
        <v>144</v>
      </c>
      <c r="C50" s="60" t="s">
        <v>107</v>
      </c>
      <c r="D50" s="49" t="s">
        <v>191</v>
      </c>
      <c r="E50" s="74" t="s">
        <v>347</v>
      </c>
      <c r="F50" s="28" t="s">
        <v>470</v>
      </c>
      <c r="G50" s="49" t="s">
        <v>471</v>
      </c>
      <c r="H50" s="15" t="s">
        <v>472</v>
      </c>
      <c r="I50" s="66" t="s">
        <v>338</v>
      </c>
      <c r="J50" s="49" t="s">
        <v>473</v>
      </c>
      <c r="K50" s="14" t="s">
        <v>270</v>
      </c>
    </row>
    <row r="51" spans="1:11" ht="15.6" customHeight="1" x14ac:dyDescent="0.3">
      <c r="A51" s="19" t="s">
        <v>190</v>
      </c>
      <c r="B51" s="15" t="s">
        <v>144</v>
      </c>
      <c r="C51" s="60" t="s">
        <v>107</v>
      </c>
      <c r="D51" s="49" t="s">
        <v>191</v>
      </c>
      <c r="E51" s="74" t="s">
        <v>347</v>
      </c>
      <c r="F51" s="28" t="s">
        <v>474</v>
      </c>
      <c r="G51" s="49" t="s">
        <v>475</v>
      </c>
      <c r="H51" s="15" t="s">
        <v>476</v>
      </c>
      <c r="I51" s="66" t="s">
        <v>338</v>
      </c>
      <c r="J51" s="49" t="s">
        <v>477</v>
      </c>
      <c r="K51" s="14" t="s">
        <v>270</v>
      </c>
    </row>
    <row r="52" spans="1:11" ht="31.2" customHeight="1" x14ac:dyDescent="0.3">
      <c r="A52" s="19" t="s">
        <v>190</v>
      </c>
      <c r="B52" s="15" t="s">
        <v>144</v>
      </c>
      <c r="C52" s="60" t="s">
        <v>107</v>
      </c>
      <c r="D52" s="49" t="s">
        <v>191</v>
      </c>
      <c r="E52" s="74" t="s">
        <v>347</v>
      </c>
      <c r="F52" s="28" t="s">
        <v>446</v>
      </c>
      <c r="G52" s="49" t="s">
        <v>447</v>
      </c>
      <c r="H52" s="15" t="s">
        <v>448</v>
      </c>
      <c r="I52" s="66" t="s">
        <v>338</v>
      </c>
      <c r="J52" s="49" t="s">
        <v>478</v>
      </c>
      <c r="K52" s="14" t="s">
        <v>450</v>
      </c>
    </row>
    <row r="53" spans="1:11" ht="46.8" customHeight="1" x14ac:dyDescent="0.3">
      <c r="A53" s="19" t="s">
        <v>190</v>
      </c>
      <c r="B53" s="15" t="s">
        <v>144</v>
      </c>
      <c r="C53" s="60" t="s">
        <v>107</v>
      </c>
      <c r="D53" s="49" t="s">
        <v>191</v>
      </c>
      <c r="E53" s="74" t="s">
        <v>347</v>
      </c>
      <c r="F53" s="28" t="s">
        <v>451</v>
      </c>
      <c r="G53" s="49" t="s">
        <v>452</v>
      </c>
      <c r="H53" s="15" t="s">
        <v>453</v>
      </c>
      <c r="I53" s="66" t="s">
        <v>338</v>
      </c>
      <c r="J53" s="49" t="s">
        <v>454</v>
      </c>
      <c r="K53" s="14" t="s">
        <v>455</v>
      </c>
    </row>
    <row r="54" spans="1:11" ht="15" customHeight="1" x14ac:dyDescent="0.3">
      <c r="A54" s="19" t="s">
        <v>199</v>
      </c>
      <c r="B54" s="15" t="s">
        <v>144</v>
      </c>
      <c r="C54" s="60" t="s">
        <v>107</v>
      </c>
      <c r="D54" s="49" t="s">
        <v>200</v>
      </c>
      <c r="E54" s="73" t="s">
        <v>334</v>
      </c>
      <c r="F54" s="28" t="s">
        <v>470</v>
      </c>
      <c r="G54" s="49" t="s">
        <v>471</v>
      </c>
      <c r="H54" s="15" t="s">
        <v>472</v>
      </c>
      <c r="I54" s="66" t="s">
        <v>338</v>
      </c>
      <c r="J54" s="49" t="s">
        <v>473</v>
      </c>
      <c r="K54" s="14" t="s">
        <v>270</v>
      </c>
    </row>
    <row r="55" spans="1:11" ht="15" customHeight="1" x14ac:dyDescent="0.3">
      <c r="A55" s="19" t="s">
        <v>199</v>
      </c>
      <c r="B55" s="15" t="s">
        <v>144</v>
      </c>
      <c r="C55" s="60" t="s">
        <v>107</v>
      </c>
      <c r="D55" s="49" t="s">
        <v>200</v>
      </c>
      <c r="E55" s="73" t="s">
        <v>334</v>
      </c>
      <c r="F55" s="28" t="s">
        <v>456</v>
      </c>
      <c r="G55" s="49" t="s">
        <v>457</v>
      </c>
      <c r="H55" s="15" t="s">
        <v>458</v>
      </c>
      <c r="I55" s="66" t="s">
        <v>338</v>
      </c>
      <c r="J55" s="49" t="s">
        <v>459</v>
      </c>
      <c r="K55" s="14" t="s">
        <v>270</v>
      </c>
    </row>
    <row r="56" spans="1:11" ht="15" customHeight="1" x14ac:dyDescent="0.3">
      <c r="A56" s="19" t="s">
        <v>199</v>
      </c>
      <c r="B56" s="15" t="s">
        <v>144</v>
      </c>
      <c r="C56" s="60" t="s">
        <v>107</v>
      </c>
      <c r="D56" s="49" t="s">
        <v>200</v>
      </c>
      <c r="E56" s="73" t="s">
        <v>334</v>
      </c>
      <c r="F56" s="28" t="s">
        <v>434</v>
      </c>
      <c r="G56" s="49" t="s">
        <v>435</v>
      </c>
      <c r="H56" s="15" t="s">
        <v>364</v>
      </c>
      <c r="I56" s="66" t="s">
        <v>338</v>
      </c>
      <c r="J56" s="49" t="s">
        <v>436</v>
      </c>
      <c r="K56" s="14" t="s">
        <v>270</v>
      </c>
    </row>
    <row r="57" spans="1:11" ht="31.2" customHeight="1" x14ac:dyDescent="0.3">
      <c r="A57" s="19" t="s">
        <v>199</v>
      </c>
      <c r="B57" s="15" t="s">
        <v>144</v>
      </c>
      <c r="C57" s="60" t="s">
        <v>107</v>
      </c>
      <c r="D57" s="49" t="s">
        <v>200</v>
      </c>
      <c r="E57" s="73" t="s">
        <v>334</v>
      </c>
      <c r="F57" s="28" t="s">
        <v>437</v>
      </c>
      <c r="G57" s="49" t="s">
        <v>438</v>
      </c>
      <c r="H57" s="15" t="s">
        <v>439</v>
      </c>
      <c r="I57" s="66" t="s">
        <v>344</v>
      </c>
      <c r="J57" s="49" t="s">
        <v>468</v>
      </c>
      <c r="K57" s="14" t="s">
        <v>469</v>
      </c>
    </row>
    <row r="58" spans="1:11" ht="15" customHeight="1" x14ac:dyDescent="0.3">
      <c r="A58" s="19" t="s">
        <v>199</v>
      </c>
      <c r="B58" s="15" t="s">
        <v>144</v>
      </c>
      <c r="C58" s="60" t="s">
        <v>107</v>
      </c>
      <c r="D58" s="49" t="s">
        <v>200</v>
      </c>
      <c r="E58" s="74" t="s">
        <v>347</v>
      </c>
      <c r="F58" s="28" t="s">
        <v>479</v>
      </c>
      <c r="G58" s="49" t="s">
        <v>480</v>
      </c>
      <c r="H58" s="15" t="s">
        <v>481</v>
      </c>
      <c r="I58" s="66" t="s">
        <v>338</v>
      </c>
      <c r="J58" s="49" t="s">
        <v>482</v>
      </c>
      <c r="K58" s="14" t="s">
        <v>270</v>
      </c>
    </row>
    <row r="59" spans="1:11" ht="46.8" customHeight="1" x14ac:dyDescent="0.3">
      <c r="A59" s="19" t="s">
        <v>199</v>
      </c>
      <c r="B59" s="15" t="s">
        <v>144</v>
      </c>
      <c r="C59" s="60" t="s">
        <v>107</v>
      </c>
      <c r="D59" s="49" t="s">
        <v>200</v>
      </c>
      <c r="E59" s="74" t="s">
        <v>347</v>
      </c>
      <c r="F59" s="28" t="s">
        <v>451</v>
      </c>
      <c r="G59" s="49" t="s">
        <v>452</v>
      </c>
      <c r="H59" s="15" t="s">
        <v>453</v>
      </c>
      <c r="I59" s="66" t="s">
        <v>338</v>
      </c>
      <c r="J59" s="49" t="s">
        <v>454</v>
      </c>
      <c r="K59" s="14" t="s">
        <v>455</v>
      </c>
    </row>
    <row r="60" spans="1:11" ht="15" customHeight="1" x14ac:dyDescent="0.3">
      <c r="A60" s="19" t="s">
        <v>208</v>
      </c>
      <c r="B60" s="15" t="s">
        <v>144</v>
      </c>
      <c r="C60" s="60" t="s">
        <v>107</v>
      </c>
      <c r="D60" s="49" t="s">
        <v>209</v>
      </c>
      <c r="E60" s="73" t="s">
        <v>334</v>
      </c>
      <c r="F60" s="28" t="s">
        <v>470</v>
      </c>
      <c r="G60" s="49" t="s">
        <v>471</v>
      </c>
      <c r="H60" s="15" t="s">
        <v>472</v>
      </c>
      <c r="I60" s="66" t="s">
        <v>338</v>
      </c>
      <c r="J60" s="49" t="s">
        <v>473</v>
      </c>
      <c r="K60" s="14" t="s">
        <v>270</v>
      </c>
    </row>
    <row r="61" spans="1:11" ht="23.25" customHeight="1" x14ac:dyDescent="0.3">
      <c r="A61" s="19" t="s">
        <v>208</v>
      </c>
      <c r="B61" s="15" t="s">
        <v>144</v>
      </c>
      <c r="C61" s="60" t="s">
        <v>107</v>
      </c>
      <c r="D61" s="49" t="s">
        <v>209</v>
      </c>
      <c r="E61" s="73" t="s">
        <v>334</v>
      </c>
      <c r="F61" s="28" t="s">
        <v>357</v>
      </c>
      <c r="G61" s="49" t="s">
        <v>358</v>
      </c>
      <c r="H61" s="15" t="s">
        <v>359</v>
      </c>
      <c r="I61" s="66" t="s">
        <v>338</v>
      </c>
      <c r="J61" s="49" t="s">
        <v>420</v>
      </c>
      <c r="K61" s="14" t="s">
        <v>421</v>
      </c>
    </row>
    <row r="62" spans="1:11" ht="15" customHeight="1" x14ac:dyDescent="0.3">
      <c r="A62" s="19" t="s">
        <v>208</v>
      </c>
      <c r="B62" s="15" t="s">
        <v>144</v>
      </c>
      <c r="C62" s="60" t="s">
        <v>107</v>
      </c>
      <c r="D62" s="49" t="s">
        <v>209</v>
      </c>
      <c r="E62" s="73" t="s">
        <v>334</v>
      </c>
      <c r="F62" s="28" t="s">
        <v>411</v>
      </c>
      <c r="G62" s="49" t="s">
        <v>412</v>
      </c>
      <c r="H62" s="15" t="s">
        <v>413</v>
      </c>
      <c r="I62" s="66" t="s">
        <v>338</v>
      </c>
      <c r="J62" s="49" t="s">
        <v>414</v>
      </c>
      <c r="K62" s="14" t="s">
        <v>270</v>
      </c>
    </row>
    <row r="63" spans="1:11" ht="15" customHeight="1" x14ac:dyDescent="0.3">
      <c r="A63" s="19" t="s">
        <v>208</v>
      </c>
      <c r="B63" s="15" t="s">
        <v>144</v>
      </c>
      <c r="C63" s="60" t="s">
        <v>107</v>
      </c>
      <c r="D63" s="49" t="s">
        <v>209</v>
      </c>
      <c r="E63" s="73" t="s">
        <v>334</v>
      </c>
      <c r="F63" s="28" t="s">
        <v>434</v>
      </c>
      <c r="G63" s="49" t="s">
        <v>435</v>
      </c>
      <c r="H63" s="15" t="s">
        <v>364</v>
      </c>
      <c r="I63" s="66" t="s">
        <v>338</v>
      </c>
      <c r="J63" s="49" t="s">
        <v>436</v>
      </c>
      <c r="K63" s="14" t="s">
        <v>270</v>
      </c>
    </row>
    <row r="64" spans="1:11" ht="31.2" customHeight="1" x14ac:dyDescent="0.3">
      <c r="A64" s="19" t="s">
        <v>208</v>
      </c>
      <c r="B64" s="15" t="s">
        <v>144</v>
      </c>
      <c r="C64" s="60" t="s">
        <v>107</v>
      </c>
      <c r="D64" s="49" t="s">
        <v>209</v>
      </c>
      <c r="E64" s="73" t="s">
        <v>334</v>
      </c>
      <c r="F64" s="28" t="s">
        <v>437</v>
      </c>
      <c r="G64" s="49" t="s">
        <v>438</v>
      </c>
      <c r="H64" s="15" t="s">
        <v>439</v>
      </c>
      <c r="I64" s="66" t="s">
        <v>344</v>
      </c>
      <c r="J64" s="49" t="s">
        <v>468</v>
      </c>
      <c r="K64" s="14" t="s">
        <v>469</v>
      </c>
    </row>
    <row r="65" spans="1:11" ht="29.25" customHeight="1" x14ac:dyDescent="0.3">
      <c r="A65" s="19" t="s">
        <v>208</v>
      </c>
      <c r="B65" s="15" t="s">
        <v>144</v>
      </c>
      <c r="C65" s="60" t="s">
        <v>107</v>
      </c>
      <c r="D65" s="49" t="s">
        <v>209</v>
      </c>
      <c r="E65" s="74" t="s">
        <v>347</v>
      </c>
      <c r="F65" s="28" t="s">
        <v>483</v>
      </c>
      <c r="G65" s="49" t="s">
        <v>484</v>
      </c>
      <c r="H65" s="15" t="s">
        <v>485</v>
      </c>
      <c r="I65" s="66" t="s">
        <v>338</v>
      </c>
      <c r="J65" s="49" t="s">
        <v>486</v>
      </c>
      <c r="K65" s="14" t="s">
        <v>270</v>
      </c>
    </row>
    <row r="66" spans="1:11" ht="46.8" customHeight="1" x14ac:dyDescent="0.3">
      <c r="A66" s="19" t="s">
        <v>208</v>
      </c>
      <c r="B66" s="15" t="s">
        <v>144</v>
      </c>
      <c r="C66" s="60" t="s">
        <v>107</v>
      </c>
      <c r="D66" s="49" t="s">
        <v>209</v>
      </c>
      <c r="E66" s="74" t="s">
        <v>347</v>
      </c>
      <c r="F66" s="28" t="s">
        <v>451</v>
      </c>
      <c r="G66" s="49" t="s">
        <v>452</v>
      </c>
      <c r="H66" s="15" t="s">
        <v>453</v>
      </c>
      <c r="I66" s="66" t="s">
        <v>338</v>
      </c>
      <c r="J66" s="49" t="s">
        <v>454</v>
      </c>
      <c r="K66" s="14" t="s">
        <v>455</v>
      </c>
    </row>
    <row r="67" spans="1:11" ht="29.25" customHeight="1" x14ac:dyDescent="0.3">
      <c r="A67" s="21" t="s">
        <v>216</v>
      </c>
      <c r="B67" s="15" t="s">
        <v>144</v>
      </c>
      <c r="C67" s="62" t="s">
        <v>111</v>
      </c>
      <c r="D67" s="49" t="s">
        <v>217</v>
      </c>
      <c r="E67" s="73" t="s">
        <v>334</v>
      </c>
      <c r="F67" s="28" t="s">
        <v>470</v>
      </c>
      <c r="G67" s="49" t="s">
        <v>471</v>
      </c>
      <c r="H67" s="15" t="s">
        <v>472</v>
      </c>
      <c r="I67" s="66" t="s">
        <v>338</v>
      </c>
      <c r="J67" s="49" t="s">
        <v>473</v>
      </c>
      <c r="K67" s="14" t="s">
        <v>270</v>
      </c>
    </row>
    <row r="68" spans="1:11" ht="29.25" customHeight="1" x14ac:dyDescent="0.3">
      <c r="A68" s="21" t="s">
        <v>216</v>
      </c>
      <c r="B68" s="15" t="s">
        <v>144</v>
      </c>
      <c r="C68" s="62" t="s">
        <v>111</v>
      </c>
      <c r="D68" s="49" t="s">
        <v>217</v>
      </c>
      <c r="E68" s="73" t="s">
        <v>334</v>
      </c>
      <c r="F68" s="28" t="s">
        <v>487</v>
      </c>
      <c r="G68" s="49" t="s">
        <v>488</v>
      </c>
      <c r="H68" s="15" t="s">
        <v>489</v>
      </c>
      <c r="I68" s="66" t="s">
        <v>338</v>
      </c>
      <c r="J68" s="49" t="s">
        <v>490</v>
      </c>
      <c r="K68" s="14" t="s">
        <v>270</v>
      </c>
    </row>
    <row r="69" spans="1:11" ht="29.25" customHeight="1" x14ac:dyDescent="0.3">
      <c r="A69" s="21" t="s">
        <v>216</v>
      </c>
      <c r="B69" s="15" t="s">
        <v>144</v>
      </c>
      <c r="C69" s="62" t="s">
        <v>111</v>
      </c>
      <c r="D69" s="49" t="s">
        <v>217</v>
      </c>
      <c r="E69" s="73" t="s">
        <v>334</v>
      </c>
      <c r="F69" s="28" t="s">
        <v>491</v>
      </c>
      <c r="G69" s="49" t="s">
        <v>492</v>
      </c>
      <c r="H69" s="15" t="s">
        <v>493</v>
      </c>
      <c r="I69" s="66" t="s">
        <v>338</v>
      </c>
      <c r="J69" s="49" t="s">
        <v>494</v>
      </c>
      <c r="K69" s="14" t="s">
        <v>270</v>
      </c>
    </row>
    <row r="70" spans="1:11" ht="29.25" customHeight="1" x14ac:dyDescent="0.3">
      <c r="A70" s="21" t="s">
        <v>216</v>
      </c>
      <c r="B70" s="15" t="s">
        <v>144</v>
      </c>
      <c r="C70" s="62" t="s">
        <v>111</v>
      </c>
      <c r="D70" s="49" t="s">
        <v>217</v>
      </c>
      <c r="E70" s="73" t="s">
        <v>334</v>
      </c>
      <c r="F70" s="28" t="s">
        <v>495</v>
      </c>
      <c r="G70" s="49" t="s">
        <v>496</v>
      </c>
      <c r="H70" s="15" t="s">
        <v>497</v>
      </c>
      <c r="I70" s="66" t="s">
        <v>338</v>
      </c>
      <c r="J70" s="49" t="s">
        <v>498</v>
      </c>
      <c r="K70" s="14" t="s">
        <v>499</v>
      </c>
    </row>
    <row r="71" spans="1:11" ht="29.25" customHeight="1" x14ac:dyDescent="0.3">
      <c r="A71" s="21" t="s">
        <v>216</v>
      </c>
      <c r="B71" s="15" t="s">
        <v>144</v>
      </c>
      <c r="C71" s="62" t="s">
        <v>111</v>
      </c>
      <c r="D71" s="49" t="s">
        <v>217</v>
      </c>
      <c r="E71" s="74" t="s">
        <v>347</v>
      </c>
      <c r="F71" s="28" t="s">
        <v>500</v>
      </c>
      <c r="G71" s="49" t="s">
        <v>501</v>
      </c>
      <c r="H71" s="15" t="s">
        <v>502</v>
      </c>
      <c r="I71" s="66" t="s">
        <v>338</v>
      </c>
      <c r="J71" s="14" t="s">
        <v>503</v>
      </c>
      <c r="K71" s="14" t="s">
        <v>504</v>
      </c>
    </row>
    <row r="72" spans="1:11" ht="29.25" customHeight="1" x14ac:dyDescent="0.3">
      <c r="A72" s="21" t="s">
        <v>216</v>
      </c>
      <c r="B72" s="15" t="s">
        <v>144</v>
      </c>
      <c r="C72" s="62" t="s">
        <v>111</v>
      </c>
      <c r="D72" s="49" t="s">
        <v>217</v>
      </c>
      <c r="E72" s="74" t="s">
        <v>347</v>
      </c>
      <c r="F72" s="28" t="s">
        <v>505</v>
      </c>
      <c r="G72" s="49" t="s">
        <v>506</v>
      </c>
      <c r="H72" s="15" t="s">
        <v>507</v>
      </c>
      <c r="I72" s="66" t="s">
        <v>338</v>
      </c>
      <c r="J72" s="49" t="s">
        <v>508</v>
      </c>
      <c r="K72" s="14" t="s">
        <v>270</v>
      </c>
    </row>
    <row r="73" spans="1:11" ht="29.25" customHeight="1" x14ac:dyDescent="0.3">
      <c r="A73" s="21" t="s">
        <v>216</v>
      </c>
      <c r="B73" s="15" t="s">
        <v>144</v>
      </c>
      <c r="C73" s="62" t="s">
        <v>111</v>
      </c>
      <c r="D73" s="49" t="s">
        <v>217</v>
      </c>
      <c r="E73" s="74" t="s">
        <v>347</v>
      </c>
      <c r="F73" s="28" t="s">
        <v>509</v>
      </c>
      <c r="G73" s="49" t="s">
        <v>510</v>
      </c>
      <c r="H73" s="15" t="s">
        <v>403</v>
      </c>
      <c r="I73" s="66" t="s">
        <v>338</v>
      </c>
      <c r="J73" s="49" t="s">
        <v>511</v>
      </c>
      <c r="K73" s="49" t="s">
        <v>405</v>
      </c>
    </row>
    <row r="74" spans="1:11" ht="31.2" customHeight="1" x14ac:dyDescent="0.3">
      <c r="A74" s="20" t="s">
        <v>225</v>
      </c>
      <c r="B74" s="15" t="s">
        <v>144</v>
      </c>
      <c r="C74" s="61" t="s">
        <v>109</v>
      </c>
      <c r="D74" s="49" t="s">
        <v>226</v>
      </c>
      <c r="E74" s="73" t="s">
        <v>334</v>
      </c>
      <c r="F74" s="28" t="s">
        <v>446</v>
      </c>
      <c r="G74" s="49" t="s">
        <v>447</v>
      </c>
      <c r="H74" s="15" t="s">
        <v>448</v>
      </c>
      <c r="I74" s="66" t="s">
        <v>338</v>
      </c>
      <c r="J74" s="49" t="s">
        <v>449</v>
      </c>
      <c r="K74" s="14" t="s">
        <v>450</v>
      </c>
    </row>
    <row r="75" spans="1:11" ht="15" customHeight="1" x14ac:dyDescent="0.3">
      <c r="A75" s="20" t="s">
        <v>225</v>
      </c>
      <c r="B75" s="15" t="s">
        <v>144</v>
      </c>
      <c r="C75" s="61" t="s">
        <v>109</v>
      </c>
      <c r="D75" s="49" t="s">
        <v>226</v>
      </c>
      <c r="E75" s="73" t="s">
        <v>334</v>
      </c>
      <c r="F75" s="28" t="s">
        <v>348</v>
      </c>
      <c r="G75" s="49" t="s">
        <v>349</v>
      </c>
      <c r="H75" s="15" t="s">
        <v>350</v>
      </c>
      <c r="I75" s="66" t="s">
        <v>338</v>
      </c>
      <c r="J75" s="49" t="s">
        <v>351</v>
      </c>
      <c r="K75" s="14" t="s">
        <v>270</v>
      </c>
    </row>
    <row r="76" spans="1:11" ht="15" customHeight="1" x14ac:dyDescent="0.3">
      <c r="A76" s="20" t="s">
        <v>225</v>
      </c>
      <c r="B76" s="29" t="s">
        <v>144</v>
      </c>
      <c r="C76" s="61" t="s">
        <v>109</v>
      </c>
      <c r="D76" s="49" t="s">
        <v>226</v>
      </c>
      <c r="E76" s="73" t="s">
        <v>334</v>
      </c>
      <c r="F76" s="28" t="s">
        <v>352</v>
      </c>
      <c r="G76" s="49" t="s">
        <v>353</v>
      </c>
      <c r="H76" s="15" t="s">
        <v>512</v>
      </c>
      <c r="I76" s="66" t="s">
        <v>338</v>
      </c>
      <c r="J76" s="49" t="s">
        <v>355</v>
      </c>
      <c r="K76" s="49" t="s">
        <v>356</v>
      </c>
    </row>
    <row r="77" spans="1:11" ht="15" customHeight="1" x14ac:dyDescent="0.3">
      <c r="A77" s="20" t="s">
        <v>225</v>
      </c>
      <c r="B77" s="15" t="s">
        <v>144</v>
      </c>
      <c r="C77" s="61" t="s">
        <v>109</v>
      </c>
      <c r="D77" s="49" t="s">
        <v>226</v>
      </c>
      <c r="E77" s="73" t="s">
        <v>334</v>
      </c>
      <c r="F77" s="28" t="s">
        <v>434</v>
      </c>
      <c r="G77" s="49" t="s">
        <v>435</v>
      </c>
      <c r="H77" s="15" t="s">
        <v>364</v>
      </c>
      <c r="I77" s="66" t="s">
        <v>338</v>
      </c>
      <c r="J77" s="49" t="s">
        <v>436</v>
      </c>
      <c r="K77" s="14" t="s">
        <v>270</v>
      </c>
    </row>
    <row r="78" spans="1:11" ht="31.2" customHeight="1" x14ac:dyDescent="0.3">
      <c r="A78" s="20" t="s">
        <v>225</v>
      </c>
      <c r="B78" s="15" t="s">
        <v>144</v>
      </c>
      <c r="C78" s="61" t="s">
        <v>109</v>
      </c>
      <c r="D78" s="49" t="s">
        <v>226</v>
      </c>
      <c r="E78" s="73" t="s">
        <v>334</v>
      </c>
      <c r="F78" s="28" t="s">
        <v>437</v>
      </c>
      <c r="G78" s="49" t="s">
        <v>438</v>
      </c>
      <c r="H78" s="15" t="s">
        <v>439</v>
      </c>
      <c r="I78" s="66" t="s">
        <v>344</v>
      </c>
      <c r="J78" s="49" t="s">
        <v>468</v>
      </c>
      <c r="K78" s="14" t="s">
        <v>469</v>
      </c>
    </row>
    <row r="79" spans="1:11" ht="23.25" customHeight="1" x14ac:dyDescent="0.3">
      <c r="A79" s="20" t="s">
        <v>225</v>
      </c>
      <c r="B79" s="15" t="s">
        <v>144</v>
      </c>
      <c r="C79" s="61" t="s">
        <v>109</v>
      </c>
      <c r="D79" s="49" t="s">
        <v>226</v>
      </c>
      <c r="E79" s="74" t="s">
        <v>347</v>
      </c>
      <c r="F79" s="28" t="s">
        <v>513</v>
      </c>
      <c r="G79" s="49" t="s">
        <v>514</v>
      </c>
      <c r="H79" s="15" t="s">
        <v>515</v>
      </c>
      <c r="I79" s="66" t="s">
        <v>338</v>
      </c>
      <c r="J79" s="49" t="s">
        <v>516</v>
      </c>
      <c r="K79" s="14" t="s">
        <v>270</v>
      </c>
    </row>
    <row r="80" spans="1:11" ht="31.2" customHeight="1" x14ac:dyDescent="0.3">
      <c r="A80" s="20" t="s">
        <v>225</v>
      </c>
      <c r="B80" s="15" t="s">
        <v>144</v>
      </c>
      <c r="C80" s="61" t="s">
        <v>109</v>
      </c>
      <c r="D80" s="49" t="s">
        <v>226</v>
      </c>
      <c r="E80" s="74" t="s">
        <v>347</v>
      </c>
      <c r="F80" s="28" t="s">
        <v>517</v>
      </c>
      <c r="G80" s="49" t="s">
        <v>518</v>
      </c>
      <c r="H80" s="15" t="s">
        <v>448</v>
      </c>
      <c r="I80" s="66" t="s">
        <v>338</v>
      </c>
      <c r="J80" s="49" t="s">
        <v>519</v>
      </c>
      <c r="K80" s="14" t="s">
        <v>520</v>
      </c>
    </row>
    <row r="81" spans="1:11" ht="15" customHeight="1" x14ac:dyDescent="0.3">
      <c r="A81" s="20" t="s">
        <v>225</v>
      </c>
      <c r="B81" s="15" t="s">
        <v>144</v>
      </c>
      <c r="C81" s="61" t="s">
        <v>109</v>
      </c>
      <c r="D81" s="49" t="s">
        <v>226</v>
      </c>
      <c r="E81" s="74" t="s">
        <v>347</v>
      </c>
      <c r="F81" s="28" t="s">
        <v>521</v>
      </c>
      <c r="G81" s="49" t="s">
        <v>522</v>
      </c>
      <c r="H81" s="15" t="s">
        <v>364</v>
      </c>
      <c r="I81" s="66" t="s">
        <v>338</v>
      </c>
      <c r="J81" s="49" t="s">
        <v>523</v>
      </c>
      <c r="K81" s="14" t="s">
        <v>524</v>
      </c>
    </row>
    <row r="82" spans="1:11" ht="46.8" customHeight="1" x14ac:dyDescent="0.3">
      <c r="A82" s="20" t="s">
        <v>225</v>
      </c>
      <c r="B82" s="15" t="s">
        <v>144</v>
      </c>
      <c r="C82" s="61" t="s">
        <v>109</v>
      </c>
      <c r="D82" s="49" t="s">
        <v>226</v>
      </c>
      <c r="E82" s="74" t="s">
        <v>347</v>
      </c>
      <c r="F82" s="28" t="s">
        <v>451</v>
      </c>
      <c r="G82" s="49" t="s">
        <v>452</v>
      </c>
      <c r="H82" s="15" t="s">
        <v>453</v>
      </c>
      <c r="I82" s="66" t="s">
        <v>338</v>
      </c>
      <c r="J82" s="49" t="s">
        <v>454</v>
      </c>
      <c r="K82" s="14" t="s">
        <v>455</v>
      </c>
    </row>
    <row r="83" spans="1:11" ht="15" customHeight="1" x14ac:dyDescent="0.3">
      <c r="A83" s="20" t="s">
        <v>234</v>
      </c>
      <c r="B83" s="15" t="s">
        <v>144</v>
      </c>
      <c r="C83" s="61" t="s">
        <v>109</v>
      </c>
      <c r="D83" s="49" t="s">
        <v>235</v>
      </c>
      <c r="E83" s="73" t="s">
        <v>334</v>
      </c>
      <c r="F83" s="28" t="s">
        <v>470</v>
      </c>
      <c r="G83" s="49" t="s">
        <v>471</v>
      </c>
      <c r="H83" s="15" t="s">
        <v>472</v>
      </c>
      <c r="I83" s="66" t="s">
        <v>338</v>
      </c>
      <c r="J83" s="49" t="s">
        <v>473</v>
      </c>
      <c r="K83" s="14" t="s">
        <v>270</v>
      </c>
    </row>
    <row r="84" spans="1:11" ht="15" customHeight="1" x14ac:dyDescent="0.3">
      <c r="A84" s="20" t="s">
        <v>234</v>
      </c>
      <c r="B84" s="15" t="s">
        <v>144</v>
      </c>
      <c r="C84" s="61" t="s">
        <v>109</v>
      </c>
      <c r="D84" s="49" t="s">
        <v>235</v>
      </c>
      <c r="E84" s="73" t="s">
        <v>334</v>
      </c>
      <c r="F84" s="28" t="s">
        <v>348</v>
      </c>
      <c r="G84" s="49" t="s">
        <v>349</v>
      </c>
      <c r="H84" s="15" t="s">
        <v>350</v>
      </c>
      <c r="I84" s="66" t="s">
        <v>338</v>
      </c>
      <c r="J84" s="49" t="s">
        <v>351</v>
      </c>
      <c r="K84" s="14" t="s">
        <v>270</v>
      </c>
    </row>
    <row r="85" spans="1:11" ht="15" customHeight="1" x14ac:dyDescent="0.3">
      <c r="A85" s="20" t="s">
        <v>234</v>
      </c>
      <c r="B85" s="15" t="s">
        <v>144</v>
      </c>
      <c r="C85" s="61" t="s">
        <v>109</v>
      </c>
      <c r="D85" s="49" t="s">
        <v>235</v>
      </c>
      <c r="E85" s="73" t="s">
        <v>334</v>
      </c>
      <c r="F85" s="28" t="s">
        <v>352</v>
      </c>
      <c r="G85" s="49" t="s">
        <v>353</v>
      </c>
      <c r="H85" s="15" t="s">
        <v>354</v>
      </c>
      <c r="I85" s="66" t="s">
        <v>338</v>
      </c>
      <c r="J85" s="49" t="s">
        <v>355</v>
      </c>
      <c r="K85" s="49" t="s">
        <v>356</v>
      </c>
    </row>
    <row r="86" spans="1:11" ht="15" customHeight="1" x14ac:dyDescent="0.3">
      <c r="A86" s="20" t="s">
        <v>234</v>
      </c>
      <c r="B86" s="15" t="s">
        <v>144</v>
      </c>
      <c r="C86" s="61" t="s">
        <v>109</v>
      </c>
      <c r="D86" s="49" t="s">
        <v>235</v>
      </c>
      <c r="E86" s="73" t="s">
        <v>334</v>
      </c>
      <c r="F86" s="28" t="s">
        <v>434</v>
      </c>
      <c r="G86" s="49" t="s">
        <v>435</v>
      </c>
      <c r="H86" s="15" t="s">
        <v>364</v>
      </c>
      <c r="I86" s="66" t="s">
        <v>338</v>
      </c>
      <c r="J86" s="49" t="s">
        <v>436</v>
      </c>
      <c r="K86" s="49" t="s">
        <v>270</v>
      </c>
    </row>
    <row r="87" spans="1:11" ht="31.2" customHeight="1" x14ac:dyDescent="0.3">
      <c r="A87" s="20" t="s">
        <v>234</v>
      </c>
      <c r="B87" s="15" t="s">
        <v>144</v>
      </c>
      <c r="C87" s="61" t="s">
        <v>109</v>
      </c>
      <c r="D87" s="49" t="s">
        <v>235</v>
      </c>
      <c r="E87" s="73" t="s">
        <v>334</v>
      </c>
      <c r="F87" s="28" t="s">
        <v>437</v>
      </c>
      <c r="G87" s="49" t="s">
        <v>438</v>
      </c>
      <c r="H87" s="15" t="s">
        <v>439</v>
      </c>
      <c r="I87" s="66" t="s">
        <v>344</v>
      </c>
      <c r="J87" s="49" t="s">
        <v>468</v>
      </c>
      <c r="K87" s="49" t="s">
        <v>469</v>
      </c>
    </row>
    <row r="88" spans="1:11" ht="29.25" customHeight="1" x14ac:dyDescent="0.3">
      <c r="A88" s="20" t="s">
        <v>234</v>
      </c>
      <c r="B88" s="15" t="s">
        <v>144</v>
      </c>
      <c r="C88" s="61" t="s">
        <v>109</v>
      </c>
      <c r="D88" s="49" t="s">
        <v>235</v>
      </c>
      <c r="E88" s="74" t="s">
        <v>347</v>
      </c>
      <c r="F88" s="28" t="s">
        <v>525</v>
      </c>
      <c r="G88" s="49" t="s">
        <v>526</v>
      </c>
      <c r="H88" s="15" t="s">
        <v>527</v>
      </c>
      <c r="I88" s="66" t="s">
        <v>338</v>
      </c>
      <c r="J88" s="49" t="s">
        <v>528</v>
      </c>
      <c r="K88" s="14" t="s">
        <v>270</v>
      </c>
    </row>
    <row r="89" spans="1:11" ht="46.8" customHeight="1" x14ac:dyDescent="0.3">
      <c r="A89" s="20" t="s">
        <v>234</v>
      </c>
      <c r="B89" s="15" t="s">
        <v>144</v>
      </c>
      <c r="C89" s="61" t="s">
        <v>109</v>
      </c>
      <c r="D89" s="49" t="s">
        <v>235</v>
      </c>
      <c r="E89" s="74" t="s">
        <v>347</v>
      </c>
      <c r="F89" s="28" t="s">
        <v>451</v>
      </c>
      <c r="G89" s="49" t="s">
        <v>452</v>
      </c>
      <c r="H89" s="15" t="s">
        <v>453</v>
      </c>
      <c r="I89" s="66" t="s">
        <v>338</v>
      </c>
      <c r="J89" s="49" t="s">
        <v>454</v>
      </c>
      <c r="K89" s="14" t="s">
        <v>455</v>
      </c>
    </row>
    <row r="90" spans="1:11" ht="29.25" customHeight="1" x14ac:dyDescent="0.3">
      <c r="A90" s="21" t="s">
        <v>243</v>
      </c>
      <c r="B90" s="15" t="s">
        <v>144</v>
      </c>
      <c r="C90" s="62" t="s">
        <v>113</v>
      </c>
      <c r="D90" s="49" t="s">
        <v>244</v>
      </c>
      <c r="E90" s="73" t="s">
        <v>334</v>
      </c>
      <c r="F90" s="28" t="s">
        <v>513</v>
      </c>
      <c r="G90" s="49" t="s">
        <v>514</v>
      </c>
      <c r="H90" s="15" t="s">
        <v>515</v>
      </c>
      <c r="I90" s="66" t="s">
        <v>338</v>
      </c>
      <c r="J90" s="30" t="s">
        <v>529</v>
      </c>
      <c r="K90" s="14" t="s">
        <v>270</v>
      </c>
    </row>
    <row r="91" spans="1:11" ht="29.25" customHeight="1" x14ac:dyDescent="0.3">
      <c r="A91" s="21" t="s">
        <v>243</v>
      </c>
      <c r="B91" s="15" t="s">
        <v>144</v>
      </c>
      <c r="C91" s="62" t="s">
        <v>113</v>
      </c>
      <c r="D91" s="49" t="s">
        <v>244</v>
      </c>
      <c r="E91" s="73" t="s">
        <v>334</v>
      </c>
      <c r="F91" s="28" t="s">
        <v>525</v>
      </c>
      <c r="G91" s="49" t="s">
        <v>526</v>
      </c>
      <c r="H91" s="15" t="s">
        <v>527</v>
      </c>
      <c r="I91" s="66" t="s">
        <v>338</v>
      </c>
      <c r="J91" s="49" t="s">
        <v>528</v>
      </c>
      <c r="K91" s="14" t="s">
        <v>270</v>
      </c>
    </row>
    <row r="92" spans="1:11" ht="29.25" customHeight="1" x14ac:dyDescent="0.3">
      <c r="A92" s="21" t="s">
        <v>243</v>
      </c>
      <c r="B92" s="15" t="s">
        <v>144</v>
      </c>
      <c r="C92" s="62" t="s">
        <v>113</v>
      </c>
      <c r="D92" s="49" t="s">
        <v>244</v>
      </c>
      <c r="E92" s="73" t="s">
        <v>334</v>
      </c>
      <c r="F92" s="28" t="s">
        <v>446</v>
      </c>
      <c r="G92" s="49" t="s">
        <v>447</v>
      </c>
      <c r="H92" s="15" t="s">
        <v>448</v>
      </c>
      <c r="I92" s="66" t="s">
        <v>338</v>
      </c>
      <c r="J92" s="49" t="s">
        <v>449</v>
      </c>
      <c r="K92" s="14" t="s">
        <v>450</v>
      </c>
    </row>
    <row r="93" spans="1:11" ht="29.25" customHeight="1" x14ac:dyDescent="0.3">
      <c r="A93" s="21" t="s">
        <v>243</v>
      </c>
      <c r="B93" s="15" t="s">
        <v>144</v>
      </c>
      <c r="C93" s="62" t="s">
        <v>113</v>
      </c>
      <c r="D93" s="49" t="s">
        <v>244</v>
      </c>
      <c r="E93" s="74" t="s">
        <v>347</v>
      </c>
      <c r="F93" s="28" t="s">
        <v>530</v>
      </c>
      <c r="G93" s="49" t="s">
        <v>531</v>
      </c>
      <c r="H93" s="15" t="s">
        <v>532</v>
      </c>
      <c r="I93" s="66" t="s">
        <v>338</v>
      </c>
      <c r="J93" s="14" t="s">
        <v>533</v>
      </c>
      <c r="K93" s="14" t="s">
        <v>534</v>
      </c>
    </row>
    <row r="94" spans="1:11" ht="29.25" customHeight="1" x14ac:dyDescent="0.3">
      <c r="A94" s="21" t="s">
        <v>243</v>
      </c>
      <c r="B94" s="15" t="s">
        <v>144</v>
      </c>
      <c r="C94" s="62" t="s">
        <v>113</v>
      </c>
      <c r="D94" s="49" t="s">
        <v>244</v>
      </c>
      <c r="E94" s="74" t="s">
        <v>347</v>
      </c>
      <c r="F94" s="28" t="s">
        <v>535</v>
      </c>
      <c r="G94" s="49" t="s">
        <v>536</v>
      </c>
      <c r="H94" s="15" t="s">
        <v>537</v>
      </c>
      <c r="I94" s="66" t="s">
        <v>338</v>
      </c>
      <c r="J94" s="14" t="s">
        <v>538</v>
      </c>
      <c r="K94" s="14" t="s">
        <v>539</v>
      </c>
    </row>
    <row r="95" spans="1:11" ht="31.2" customHeight="1" x14ac:dyDescent="0.3">
      <c r="A95" s="21" t="s">
        <v>243</v>
      </c>
      <c r="B95" s="15" t="s">
        <v>144</v>
      </c>
      <c r="C95" s="62" t="s">
        <v>113</v>
      </c>
      <c r="D95" s="49" t="s">
        <v>244</v>
      </c>
      <c r="E95" s="74" t="s">
        <v>347</v>
      </c>
      <c r="F95" s="28" t="s">
        <v>540</v>
      </c>
      <c r="G95" s="49" t="s">
        <v>541</v>
      </c>
      <c r="H95" s="15" t="s">
        <v>542</v>
      </c>
      <c r="I95" s="66" t="s">
        <v>338</v>
      </c>
      <c r="J95" s="14" t="s">
        <v>543</v>
      </c>
      <c r="K95" s="14" t="s">
        <v>544</v>
      </c>
    </row>
    <row r="96" spans="1:11" ht="31.2" customHeight="1" x14ac:dyDescent="0.3">
      <c r="A96" s="23" t="s">
        <v>252</v>
      </c>
      <c r="B96" s="15" t="s">
        <v>144</v>
      </c>
      <c r="C96" s="63" t="s">
        <v>115</v>
      </c>
      <c r="D96" s="49" t="s">
        <v>253</v>
      </c>
      <c r="E96" s="73" t="s">
        <v>334</v>
      </c>
      <c r="F96" s="28" t="s">
        <v>470</v>
      </c>
      <c r="G96" s="49" t="s">
        <v>471</v>
      </c>
      <c r="H96" s="15" t="s">
        <v>472</v>
      </c>
      <c r="I96" s="66" t="s">
        <v>338</v>
      </c>
      <c r="J96" s="49" t="s">
        <v>545</v>
      </c>
      <c r="K96" s="14" t="s">
        <v>270</v>
      </c>
    </row>
    <row r="97" spans="1:11" ht="31.2" customHeight="1" x14ac:dyDescent="0.3">
      <c r="A97" s="23" t="s">
        <v>252</v>
      </c>
      <c r="B97" s="15" t="s">
        <v>144</v>
      </c>
      <c r="C97" s="63" t="s">
        <v>115</v>
      </c>
      <c r="D97" s="49" t="s">
        <v>253</v>
      </c>
      <c r="E97" s="73" t="s">
        <v>334</v>
      </c>
      <c r="F97" s="28" t="s">
        <v>546</v>
      </c>
      <c r="G97" s="49" t="s">
        <v>547</v>
      </c>
      <c r="H97" s="15" t="s">
        <v>548</v>
      </c>
      <c r="I97" s="66" t="s">
        <v>338</v>
      </c>
      <c r="J97" s="49" t="s">
        <v>549</v>
      </c>
      <c r="K97" s="14" t="s">
        <v>270</v>
      </c>
    </row>
    <row r="98" spans="1:11" ht="31.2" customHeight="1" x14ac:dyDescent="0.3">
      <c r="A98" s="23" t="s">
        <v>252</v>
      </c>
      <c r="B98" s="15" t="s">
        <v>144</v>
      </c>
      <c r="C98" s="63" t="s">
        <v>115</v>
      </c>
      <c r="D98" s="49" t="s">
        <v>253</v>
      </c>
      <c r="E98" s="73" t="s">
        <v>334</v>
      </c>
      <c r="F98" s="28" t="s">
        <v>550</v>
      </c>
      <c r="G98" s="49" t="s">
        <v>551</v>
      </c>
      <c r="H98" s="15" t="s">
        <v>462</v>
      </c>
      <c r="I98" s="66" t="s">
        <v>338</v>
      </c>
      <c r="J98" s="30" t="s">
        <v>552</v>
      </c>
      <c r="K98" s="14" t="s">
        <v>270</v>
      </c>
    </row>
    <row r="99" spans="1:11" ht="31.2" customHeight="1" x14ac:dyDescent="0.3">
      <c r="A99" s="23" t="s">
        <v>252</v>
      </c>
      <c r="B99" s="15" t="s">
        <v>144</v>
      </c>
      <c r="C99" s="63" t="s">
        <v>115</v>
      </c>
      <c r="D99" s="49" t="s">
        <v>253</v>
      </c>
      <c r="E99" s="74" t="s">
        <v>347</v>
      </c>
      <c r="F99" s="28" t="s">
        <v>553</v>
      </c>
      <c r="G99" s="49" t="s">
        <v>554</v>
      </c>
      <c r="H99" s="15" t="s">
        <v>555</v>
      </c>
      <c r="I99" s="66" t="s">
        <v>338</v>
      </c>
      <c r="J99" s="49" t="s">
        <v>556</v>
      </c>
      <c r="K99" s="14" t="s">
        <v>270</v>
      </c>
    </row>
    <row r="100" spans="1:11" ht="31.2" customHeight="1" x14ac:dyDescent="0.3">
      <c r="A100" s="23" t="s">
        <v>252</v>
      </c>
      <c r="B100" s="15" t="s">
        <v>144</v>
      </c>
      <c r="C100" s="63" t="s">
        <v>115</v>
      </c>
      <c r="D100" s="49" t="s">
        <v>253</v>
      </c>
      <c r="E100" s="74" t="s">
        <v>347</v>
      </c>
      <c r="F100" s="28" t="s">
        <v>557</v>
      </c>
      <c r="G100" s="49" t="s">
        <v>558</v>
      </c>
      <c r="H100" s="15" t="s">
        <v>448</v>
      </c>
      <c r="I100" s="66" t="s">
        <v>338</v>
      </c>
      <c r="J100" s="49" t="s">
        <v>559</v>
      </c>
      <c r="K100" s="14" t="s">
        <v>560</v>
      </c>
    </row>
    <row r="101" spans="1:11" ht="31.2" customHeight="1" x14ac:dyDescent="0.3">
      <c r="A101" s="23" t="s">
        <v>261</v>
      </c>
      <c r="B101" s="15" t="s">
        <v>144</v>
      </c>
      <c r="C101" s="63" t="s">
        <v>115</v>
      </c>
      <c r="D101" s="49" t="s">
        <v>262</v>
      </c>
      <c r="E101" s="73" t="s">
        <v>334</v>
      </c>
      <c r="F101" s="28" t="s">
        <v>561</v>
      </c>
      <c r="G101" s="49" t="s">
        <v>562</v>
      </c>
      <c r="H101" s="15" t="s">
        <v>563</v>
      </c>
      <c r="I101" s="66" t="s">
        <v>338</v>
      </c>
      <c r="J101" s="49" t="s">
        <v>564</v>
      </c>
      <c r="K101" s="14" t="s">
        <v>270</v>
      </c>
    </row>
    <row r="102" spans="1:11" ht="31.2" customHeight="1" x14ac:dyDescent="0.3">
      <c r="A102" s="23" t="s">
        <v>261</v>
      </c>
      <c r="B102" s="15" t="s">
        <v>144</v>
      </c>
      <c r="C102" s="63" t="s">
        <v>115</v>
      </c>
      <c r="D102" s="49" t="s">
        <v>262</v>
      </c>
      <c r="E102" s="73" t="s">
        <v>334</v>
      </c>
      <c r="F102" s="28" t="s">
        <v>550</v>
      </c>
      <c r="G102" s="49" t="s">
        <v>551</v>
      </c>
      <c r="H102" s="15" t="s">
        <v>462</v>
      </c>
      <c r="I102" s="66" t="s">
        <v>338</v>
      </c>
      <c r="J102" s="30" t="s">
        <v>552</v>
      </c>
      <c r="K102" s="14" t="s">
        <v>270</v>
      </c>
    </row>
    <row r="103" spans="1:11" ht="31.2" customHeight="1" x14ac:dyDescent="0.3">
      <c r="A103" s="23" t="s">
        <v>261</v>
      </c>
      <c r="B103" s="15" t="s">
        <v>144</v>
      </c>
      <c r="C103" s="63" t="s">
        <v>115</v>
      </c>
      <c r="D103" s="49" t="s">
        <v>262</v>
      </c>
      <c r="E103" s="73" t="s">
        <v>334</v>
      </c>
      <c r="F103" s="28" t="s">
        <v>553</v>
      </c>
      <c r="G103" s="49" t="s">
        <v>554</v>
      </c>
      <c r="H103" s="15" t="s">
        <v>555</v>
      </c>
      <c r="I103" s="66" t="s">
        <v>338</v>
      </c>
      <c r="J103" s="30" t="s">
        <v>565</v>
      </c>
      <c r="K103" s="14" t="s">
        <v>270</v>
      </c>
    </row>
    <row r="104" spans="1:11" ht="31.2" customHeight="1" x14ac:dyDescent="0.3">
      <c r="A104" s="23" t="s">
        <v>261</v>
      </c>
      <c r="B104" s="15" t="s">
        <v>144</v>
      </c>
      <c r="C104" s="63" t="s">
        <v>115</v>
      </c>
      <c r="D104" s="49" t="s">
        <v>262</v>
      </c>
      <c r="E104" s="73" t="s">
        <v>334</v>
      </c>
      <c r="F104" s="28" t="s">
        <v>546</v>
      </c>
      <c r="G104" s="49" t="s">
        <v>547</v>
      </c>
      <c r="H104" s="15" t="s">
        <v>548</v>
      </c>
      <c r="I104" s="66" t="s">
        <v>338</v>
      </c>
      <c r="J104" s="30" t="s">
        <v>566</v>
      </c>
      <c r="K104" s="14" t="s">
        <v>270</v>
      </c>
    </row>
    <row r="105" spans="1:11" ht="31.2" customHeight="1" x14ac:dyDescent="0.3">
      <c r="A105" s="23" t="s">
        <v>261</v>
      </c>
      <c r="B105" s="15" t="s">
        <v>144</v>
      </c>
      <c r="C105" s="63" t="s">
        <v>115</v>
      </c>
      <c r="D105" s="49" t="s">
        <v>262</v>
      </c>
      <c r="E105" s="73" t="s">
        <v>334</v>
      </c>
      <c r="F105" s="28" t="s">
        <v>567</v>
      </c>
      <c r="G105" s="49" t="s">
        <v>568</v>
      </c>
      <c r="H105" s="15" t="s">
        <v>448</v>
      </c>
      <c r="I105" s="66" t="s">
        <v>338</v>
      </c>
      <c r="J105" s="49" t="s">
        <v>569</v>
      </c>
      <c r="K105" s="14" t="s">
        <v>570</v>
      </c>
    </row>
    <row r="106" spans="1:11" ht="31.2" customHeight="1" x14ac:dyDescent="0.3">
      <c r="A106" s="23" t="s">
        <v>261</v>
      </c>
      <c r="B106" s="15" t="s">
        <v>144</v>
      </c>
      <c r="C106" s="63" t="s">
        <v>115</v>
      </c>
      <c r="D106" s="49" t="s">
        <v>262</v>
      </c>
      <c r="E106" s="73" t="s">
        <v>334</v>
      </c>
      <c r="F106" s="28" t="s">
        <v>571</v>
      </c>
      <c r="G106" s="49" t="s">
        <v>572</v>
      </c>
      <c r="H106" s="15" t="s">
        <v>383</v>
      </c>
      <c r="I106" s="66" t="s">
        <v>338</v>
      </c>
      <c r="J106" s="49" t="s">
        <v>573</v>
      </c>
      <c r="K106" s="14" t="s">
        <v>574</v>
      </c>
    </row>
    <row r="107" spans="1:11" ht="31.2" customHeight="1" x14ac:dyDescent="0.3">
      <c r="A107" s="23" t="s">
        <v>261</v>
      </c>
      <c r="B107" s="15" t="s">
        <v>144</v>
      </c>
      <c r="C107" s="63" t="s">
        <v>115</v>
      </c>
      <c r="D107" s="49" t="s">
        <v>262</v>
      </c>
      <c r="E107" s="73" t="s">
        <v>334</v>
      </c>
      <c r="F107" s="28" t="s">
        <v>495</v>
      </c>
      <c r="G107" s="49" t="s">
        <v>496</v>
      </c>
      <c r="H107" s="15" t="s">
        <v>575</v>
      </c>
      <c r="I107" s="66" t="s">
        <v>338</v>
      </c>
      <c r="J107" s="49" t="s">
        <v>498</v>
      </c>
      <c r="K107" s="14" t="s">
        <v>499</v>
      </c>
    </row>
    <row r="108" spans="1:11" ht="31.2" customHeight="1" x14ac:dyDescent="0.3">
      <c r="A108" s="23" t="s">
        <v>261</v>
      </c>
      <c r="B108" s="15" t="s">
        <v>144</v>
      </c>
      <c r="C108" s="63" t="s">
        <v>115</v>
      </c>
      <c r="D108" s="49" t="s">
        <v>262</v>
      </c>
      <c r="E108" s="74" t="s">
        <v>347</v>
      </c>
      <c r="F108" s="28" t="s">
        <v>576</v>
      </c>
      <c r="G108" s="49" t="s">
        <v>577</v>
      </c>
      <c r="H108" s="15" t="s">
        <v>563</v>
      </c>
      <c r="I108" s="66" t="s">
        <v>338</v>
      </c>
      <c r="J108" s="49" t="s">
        <v>578</v>
      </c>
      <c r="K108" s="14" t="s">
        <v>270</v>
      </c>
    </row>
    <row r="109" spans="1:11" ht="31.2" customHeight="1" x14ac:dyDescent="0.3">
      <c r="A109" s="23" t="s">
        <v>261</v>
      </c>
      <c r="B109" s="15" t="s">
        <v>144</v>
      </c>
      <c r="C109" s="63" t="s">
        <v>115</v>
      </c>
      <c r="D109" s="49" t="s">
        <v>262</v>
      </c>
      <c r="E109" s="74" t="s">
        <v>347</v>
      </c>
      <c r="F109" s="28" t="s">
        <v>579</v>
      </c>
      <c r="G109" s="49" t="s">
        <v>580</v>
      </c>
      <c r="H109" s="15" t="s">
        <v>581</v>
      </c>
      <c r="I109" s="66" t="s">
        <v>338</v>
      </c>
      <c r="J109" s="49" t="s">
        <v>582</v>
      </c>
      <c r="K109" s="14" t="s">
        <v>419</v>
      </c>
    </row>
    <row r="110" spans="1:11" ht="31.2" customHeight="1" x14ac:dyDescent="0.3">
      <c r="A110" s="23" t="s">
        <v>261</v>
      </c>
      <c r="B110" s="15" t="s">
        <v>144</v>
      </c>
      <c r="C110" s="63" t="s">
        <v>115</v>
      </c>
      <c r="D110" s="49" t="s">
        <v>262</v>
      </c>
      <c r="E110" s="74" t="s">
        <v>347</v>
      </c>
      <c r="F110" s="28" t="s">
        <v>583</v>
      </c>
      <c r="G110" s="49" t="s">
        <v>584</v>
      </c>
      <c r="H110" s="15" t="s">
        <v>403</v>
      </c>
      <c r="I110" s="66" t="s">
        <v>338</v>
      </c>
      <c r="J110" s="49" t="s">
        <v>585</v>
      </c>
      <c r="K110" s="49" t="s">
        <v>405</v>
      </c>
    </row>
    <row r="111" spans="1:11" ht="31.2" customHeight="1" x14ac:dyDescent="0.3">
      <c r="A111" s="23" t="s">
        <v>261</v>
      </c>
      <c r="B111" s="15" t="s">
        <v>144</v>
      </c>
      <c r="C111" s="63" t="s">
        <v>115</v>
      </c>
      <c r="D111" s="49" t="s">
        <v>262</v>
      </c>
      <c r="E111" s="74" t="s">
        <v>347</v>
      </c>
      <c r="F111" s="28" t="s">
        <v>586</v>
      </c>
      <c r="G111" s="49" t="s">
        <v>587</v>
      </c>
      <c r="H111" s="15" t="s">
        <v>588</v>
      </c>
      <c r="I111" s="66" t="s">
        <v>344</v>
      </c>
      <c r="J111" s="49" t="s">
        <v>589</v>
      </c>
      <c r="K111" s="49" t="s">
        <v>590</v>
      </c>
    </row>
    <row r="112" spans="1:11" ht="29.25" customHeight="1" x14ac:dyDescent="0.3">
      <c r="A112" s="23" t="s">
        <v>261</v>
      </c>
      <c r="B112" s="15" t="s">
        <v>144</v>
      </c>
      <c r="C112" s="63" t="s">
        <v>115</v>
      </c>
      <c r="D112" s="49" t="s">
        <v>262</v>
      </c>
      <c r="E112" s="74" t="s">
        <v>347</v>
      </c>
      <c r="F112" s="28" t="s">
        <v>591</v>
      </c>
      <c r="G112" s="49" t="s">
        <v>592</v>
      </c>
      <c r="H112" s="15" t="s">
        <v>383</v>
      </c>
      <c r="I112" s="66" t="s">
        <v>338</v>
      </c>
      <c r="J112" s="49" t="s">
        <v>593</v>
      </c>
      <c r="K112" s="14" t="s">
        <v>594</v>
      </c>
    </row>
    <row r="113" spans="1:11" ht="26.25" customHeight="1" x14ac:dyDescent="0.3">
      <c r="A113" s="16" t="s">
        <v>272</v>
      </c>
      <c r="B113" s="66" t="s">
        <v>271</v>
      </c>
      <c r="C113" s="58" t="s">
        <v>103</v>
      </c>
      <c r="D113" s="49" t="s">
        <v>273</v>
      </c>
      <c r="E113" s="73" t="s">
        <v>334</v>
      </c>
      <c r="F113" s="28" t="s">
        <v>357</v>
      </c>
      <c r="G113" s="49" t="s">
        <v>358</v>
      </c>
      <c r="H113" s="15" t="s">
        <v>359</v>
      </c>
      <c r="I113" s="66" t="s">
        <v>338</v>
      </c>
      <c r="J113" s="49" t="s">
        <v>595</v>
      </c>
      <c r="K113" s="14" t="s">
        <v>596</v>
      </c>
    </row>
    <row r="114" spans="1:11" ht="26.25" customHeight="1" x14ac:dyDescent="0.3">
      <c r="A114" s="16" t="s">
        <v>272</v>
      </c>
      <c r="B114" s="66" t="s">
        <v>271</v>
      </c>
      <c r="C114" s="58" t="s">
        <v>103</v>
      </c>
      <c r="D114" s="49" t="s">
        <v>273</v>
      </c>
      <c r="E114" s="73" t="s">
        <v>334</v>
      </c>
      <c r="F114" s="28" t="s">
        <v>597</v>
      </c>
      <c r="G114" s="49" t="s">
        <v>598</v>
      </c>
      <c r="H114" s="15" t="s">
        <v>599</v>
      </c>
      <c r="I114" s="66" t="s">
        <v>338</v>
      </c>
      <c r="J114" s="49" t="s">
        <v>600</v>
      </c>
      <c r="K114" s="14" t="s">
        <v>270</v>
      </c>
    </row>
    <row r="115" spans="1:11" ht="26.25" customHeight="1" x14ac:dyDescent="0.3">
      <c r="A115" s="16" t="s">
        <v>272</v>
      </c>
      <c r="B115" s="66" t="s">
        <v>271</v>
      </c>
      <c r="C115" s="58" t="s">
        <v>103</v>
      </c>
      <c r="D115" s="49" t="s">
        <v>273</v>
      </c>
      <c r="E115" s="73" t="s">
        <v>334</v>
      </c>
      <c r="F115" s="28" t="s">
        <v>601</v>
      </c>
      <c r="G115" s="49" t="s">
        <v>602</v>
      </c>
      <c r="H115" s="15" t="s">
        <v>403</v>
      </c>
      <c r="I115" s="66" t="s">
        <v>338</v>
      </c>
      <c r="J115" s="49" t="s">
        <v>603</v>
      </c>
      <c r="K115" s="49" t="s">
        <v>604</v>
      </c>
    </row>
    <row r="116" spans="1:11" ht="26.25" customHeight="1" x14ac:dyDescent="0.3">
      <c r="A116" s="16" t="s">
        <v>272</v>
      </c>
      <c r="B116" s="66" t="s">
        <v>271</v>
      </c>
      <c r="C116" s="58" t="s">
        <v>103</v>
      </c>
      <c r="D116" s="49" t="s">
        <v>273</v>
      </c>
      <c r="E116" s="73" t="s">
        <v>334</v>
      </c>
      <c r="F116" s="28" t="s">
        <v>377</v>
      </c>
      <c r="G116" s="49" t="s">
        <v>378</v>
      </c>
      <c r="H116" s="15" t="s">
        <v>30</v>
      </c>
      <c r="I116" s="66" t="s">
        <v>338</v>
      </c>
      <c r="J116" s="49" t="s">
        <v>379</v>
      </c>
      <c r="K116" s="14" t="s">
        <v>380</v>
      </c>
    </row>
    <row r="117" spans="1:11" ht="26.25" customHeight="1" x14ac:dyDescent="0.3">
      <c r="A117" s="16" t="s">
        <v>272</v>
      </c>
      <c r="B117" s="66" t="s">
        <v>271</v>
      </c>
      <c r="C117" s="58" t="s">
        <v>103</v>
      </c>
      <c r="D117" s="49" t="s">
        <v>273</v>
      </c>
      <c r="E117" s="74" t="s">
        <v>347</v>
      </c>
      <c r="F117" s="28" t="s">
        <v>415</v>
      </c>
      <c r="G117" s="49" t="s">
        <v>416</v>
      </c>
      <c r="H117" s="15" t="s">
        <v>417</v>
      </c>
      <c r="I117" s="66" t="s">
        <v>338</v>
      </c>
      <c r="J117" s="14" t="s">
        <v>418</v>
      </c>
      <c r="K117" s="14" t="s">
        <v>419</v>
      </c>
    </row>
    <row r="118" spans="1:11" ht="29.25" customHeight="1" x14ac:dyDescent="0.3">
      <c r="A118" s="16" t="s">
        <v>272</v>
      </c>
      <c r="B118" s="66" t="s">
        <v>271</v>
      </c>
      <c r="C118" s="58" t="s">
        <v>103</v>
      </c>
      <c r="D118" s="49" t="s">
        <v>273</v>
      </c>
      <c r="E118" s="74" t="s">
        <v>347</v>
      </c>
      <c r="F118" s="28" t="s">
        <v>605</v>
      </c>
      <c r="G118" s="49" t="s">
        <v>606</v>
      </c>
      <c r="H118" s="15" t="s">
        <v>607</v>
      </c>
      <c r="I118" s="66" t="s">
        <v>344</v>
      </c>
      <c r="J118" s="49" t="s">
        <v>608</v>
      </c>
      <c r="K118" s="14" t="s">
        <v>609</v>
      </c>
    </row>
    <row r="119" spans="1:11" ht="29.25" customHeight="1" x14ac:dyDescent="0.3">
      <c r="A119" s="16" t="s">
        <v>281</v>
      </c>
      <c r="B119" s="66" t="s">
        <v>271</v>
      </c>
      <c r="C119" s="58" t="s">
        <v>103</v>
      </c>
      <c r="D119" s="49" t="s">
        <v>610</v>
      </c>
      <c r="E119" s="73" t="s">
        <v>334</v>
      </c>
      <c r="F119" s="28" t="s">
        <v>500</v>
      </c>
      <c r="G119" s="49" t="s">
        <v>501</v>
      </c>
      <c r="H119" s="15" t="s">
        <v>502</v>
      </c>
      <c r="I119" s="66" t="s">
        <v>338</v>
      </c>
      <c r="J119" s="14" t="s">
        <v>611</v>
      </c>
      <c r="K119" s="14" t="s">
        <v>504</v>
      </c>
    </row>
    <row r="120" spans="1:11" ht="29.25" customHeight="1" x14ac:dyDescent="0.3">
      <c r="A120" s="16" t="s">
        <v>281</v>
      </c>
      <c r="B120" s="66" t="s">
        <v>271</v>
      </c>
      <c r="C120" s="58" t="s">
        <v>103</v>
      </c>
      <c r="D120" s="49" t="s">
        <v>610</v>
      </c>
      <c r="E120" s="73" t="s">
        <v>334</v>
      </c>
      <c r="F120" s="28" t="s">
        <v>612</v>
      </c>
      <c r="G120" s="49" t="s">
        <v>613</v>
      </c>
      <c r="H120" s="15" t="s">
        <v>614</v>
      </c>
      <c r="I120" s="66" t="s">
        <v>338</v>
      </c>
      <c r="J120" s="49" t="s">
        <v>615</v>
      </c>
      <c r="K120" s="14" t="s">
        <v>616</v>
      </c>
    </row>
    <row r="121" spans="1:11" ht="29.25" customHeight="1" x14ac:dyDescent="0.3">
      <c r="A121" s="16" t="s">
        <v>281</v>
      </c>
      <c r="B121" s="66" t="s">
        <v>271</v>
      </c>
      <c r="C121" s="58" t="s">
        <v>103</v>
      </c>
      <c r="D121" s="49" t="s">
        <v>610</v>
      </c>
      <c r="E121" s="73" t="s">
        <v>334</v>
      </c>
      <c r="F121" s="28" t="s">
        <v>617</v>
      </c>
      <c r="G121" s="49" t="s">
        <v>618</v>
      </c>
      <c r="H121" s="15" t="s">
        <v>619</v>
      </c>
      <c r="I121" s="66" t="s">
        <v>338</v>
      </c>
      <c r="J121" s="49" t="s">
        <v>620</v>
      </c>
      <c r="K121" s="14" t="s">
        <v>621</v>
      </c>
    </row>
    <row r="122" spans="1:11" ht="29.25" customHeight="1" x14ac:dyDescent="0.3">
      <c r="A122" s="16" t="s">
        <v>281</v>
      </c>
      <c r="B122" s="66" t="s">
        <v>271</v>
      </c>
      <c r="C122" s="58" t="s">
        <v>103</v>
      </c>
      <c r="D122" s="49" t="s">
        <v>610</v>
      </c>
      <c r="E122" s="73" t="s">
        <v>334</v>
      </c>
      <c r="F122" s="28" t="s">
        <v>622</v>
      </c>
      <c r="G122" s="49" t="s">
        <v>623</v>
      </c>
      <c r="H122" s="15" t="s">
        <v>624</v>
      </c>
      <c r="I122" s="66" t="s">
        <v>344</v>
      </c>
      <c r="J122" s="49" t="s">
        <v>625</v>
      </c>
      <c r="K122" s="14" t="s">
        <v>626</v>
      </c>
    </row>
    <row r="123" spans="1:11" ht="29.25" customHeight="1" x14ac:dyDescent="0.3">
      <c r="A123" s="16" t="s">
        <v>281</v>
      </c>
      <c r="B123" s="66" t="s">
        <v>271</v>
      </c>
      <c r="C123" s="58" t="s">
        <v>103</v>
      </c>
      <c r="D123" s="49" t="s">
        <v>610</v>
      </c>
      <c r="E123" s="73" t="s">
        <v>334</v>
      </c>
      <c r="F123" s="28" t="s">
        <v>627</v>
      </c>
      <c r="G123" s="49" t="s">
        <v>628</v>
      </c>
      <c r="H123" s="15" t="s">
        <v>629</v>
      </c>
      <c r="I123" s="66" t="s">
        <v>344</v>
      </c>
      <c r="J123" s="49" t="s">
        <v>630</v>
      </c>
      <c r="K123" s="14" t="s">
        <v>270</v>
      </c>
    </row>
    <row r="124" spans="1:11" ht="29.25" customHeight="1" x14ac:dyDescent="0.3">
      <c r="A124" s="16" t="s">
        <v>281</v>
      </c>
      <c r="B124" s="66" t="s">
        <v>271</v>
      </c>
      <c r="C124" s="58" t="s">
        <v>103</v>
      </c>
      <c r="D124" s="49" t="s">
        <v>610</v>
      </c>
      <c r="E124" s="73" t="s">
        <v>334</v>
      </c>
      <c r="F124" s="28" t="s">
        <v>631</v>
      </c>
      <c r="G124" s="49" t="s">
        <v>632</v>
      </c>
      <c r="H124" s="15" t="s">
        <v>633</v>
      </c>
      <c r="I124" s="66" t="s">
        <v>344</v>
      </c>
      <c r="J124" s="49" t="s">
        <v>634</v>
      </c>
      <c r="K124" s="14" t="s">
        <v>635</v>
      </c>
    </row>
    <row r="125" spans="1:11" ht="29.25" customHeight="1" x14ac:dyDescent="0.3">
      <c r="A125" s="16" t="s">
        <v>281</v>
      </c>
      <c r="B125" s="66" t="s">
        <v>271</v>
      </c>
      <c r="C125" s="58" t="s">
        <v>103</v>
      </c>
      <c r="D125" s="49" t="s">
        <v>610</v>
      </c>
      <c r="E125" s="74" t="s">
        <v>347</v>
      </c>
      <c r="F125" s="28" t="s">
        <v>636</v>
      </c>
      <c r="G125" s="49" t="s">
        <v>637</v>
      </c>
      <c r="H125" s="15" t="s">
        <v>638</v>
      </c>
      <c r="I125" s="66" t="s">
        <v>338</v>
      </c>
      <c r="J125" s="22" t="s">
        <v>639</v>
      </c>
      <c r="K125" s="14" t="s">
        <v>270</v>
      </c>
    </row>
    <row r="126" spans="1:11" ht="29.25" customHeight="1" x14ac:dyDescent="0.3">
      <c r="A126" s="16" t="s">
        <v>281</v>
      </c>
      <c r="B126" s="66" t="s">
        <v>271</v>
      </c>
      <c r="C126" s="58" t="s">
        <v>103</v>
      </c>
      <c r="D126" s="49" t="s">
        <v>610</v>
      </c>
      <c r="E126" s="74" t="s">
        <v>347</v>
      </c>
      <c r="F126" s="28" t="s">
        <v>640</v>
      </c>
      <c r="G126" s="49" t="s">
        <v>641</v>
      </c>
      <c r="H126" s="15" t="s">
        <v>448</v>
      </c>
      <c r="I126" s="66" t="s">
        <v>338</v>
      </c>
      <c r="J126" s="49" t="s">
        <v>642</v>
      </c>
      <c r="K126" s="14" t="s">
        <v>643</v>
      </c>
    </row>
    <row r="127" spans="1:11" ht="31.2" customHeight="1" x14ac:dyDescent="0.3">
      <c r="A127" s="16" t="s">
        <v>281</v>
      </c>
      <c r="B127" s="66" t="s">
        <v>271</v>
      </c>
      <c r="C127" s="58" t="s">
        <v>103</v>
      </c>
      <c r="D127" s="49" t="s">
        <v>610</v>
      </c>
      <c r="E127" s="74" t="s">
        <v>347</v>
      </c>
      <c r="F127" s="28" t="s">
        <v>644</v>
      </c>
      <c r="G127" s="49" t="s">
        <v>645</v>
      </c>
      <c r="H127" s="15" t="s">
        <v>646</v>
      </c>
      <c r="I127" s="66" t="s">
        <v>338</v>
      </c>
      <c r="J127" s="49" t="s">
        <v>647</v>
      </c>
      <c r="K127" s="14" t="s">
        <v>648</v>
      </c>
    </row>
    <row r="128" spans="1:11" ht="31.2" customHeight="1" x14ac:dyDescent="0.3">
      <c r="A128" s="16" t="s">
        <v>281</v>
      </c>
      <c r="B128" s="66" t="s">
        <v>271</v>
      </c>
      <c r="C128" s="58" t="s">
        <v>103</v>
      </c>
      <c r="D128" s="49" t="s">
        <v>610</v>
      </c>
      <c r="E128" s="74" t="s">
        <v>347</v>
      </c>
      <c r="F128" s="28" t="s">
        <v>649</v>
      </c>
      <c r="G128" s="49" t="s">
        <v>650</v>
      </c>
      <c r="H128" s="15" t="s">
        <v>651</v>
      </c>
      <c r="I128" s="66" t="s">
        <v>338</v>
      </c>
      <c r="J128" s="49" t="s">
        <v>652</v>
      </c>
      <c r="K128" s="22" t="s">
        <v>653</v>
      </c>
    </row>
    <row r="129" spans="1:11" ht="29.25" customHeight="1" x14ac:dyDescent="0.3">
      <c r="A129" s="16" t="s">
        <v>317</v>
      </c>
      <c r="B129" s="66" t="s">
        <v>271</v>
      </c>
      <c r="C129" s="58" t="s">
        <v>103</v>
      </c>
      <c r="D129" s="49" t="s">
        <v>654</v>
      </c>
      <c r="E129" s="73" t="s">
        <v>334</v>
      </c>
      <c r="F129" s="28" t="s">
        <v>513</v>
      </c>
      <c r="G129" s="49" t="s">
        <v>514</v>
      </c>
      <c r="H129" s="15" t="s">
        <v>515</v>
      </c>
      <c r="I129" s="66" t="s">
        <v>338</v>
      </c>
      <c r="J129" s="14" t="s">
        <v>655</v>
      </c>
      <c r="K129" s="14" t="s">
        <v>270</v>
      </c>
    </row>
    <row r="130" spans="1:11" ht="29.25" customHeight="1" x14ac:dyDescent="0.3">
      <c r="A130" s="16" t="s">
        <v>317</v>
      </c>
      <c r="B130" s="66" t="s">
        <v>271</v>
      </c>
      <c r="C130" s="58" t="s">
        <v>103</v>
      </c>
      <c r="D130" s="49" t="s">
        <v>654</v>
      </c>
      <c r="E130" s="73" t="s">
        <v>334</v>
      </c>
      <c r="F130" s="28" t="s">
        <v>525</v>
      </c>
      <c r="G130" s="49" t="s">
        <v>526</v>
      </c>
      <c r="H130" s="15" t="s">
        <v>527</v>
      </c>
      <c r="I130" s="66" t="s">
        <v>338</v>
      </c>
      <c r="J130" s="14" t="s">
        <v>656</v>
      </c>
      <c r="K130" s="14" t="s">
        <v>270</v>
      </c>
    </row>
    <row r="131" spans="1:11" ht="29.25" customHeight="1" x14ac:dyDescent="0.3">
      <c r="A131" s="16" t="s">
        <v>317</v>
      </c>
      <c r="B131" s="66" t="s">
        <v>271</v>
      </c>
      <c r="C131" s="58" t="s">
        <v>103</v>
      </c>
      <c r="D131" s="49" t="s">
        <v>654</v>
      </c>
      <c r="E131" s="73" t="s">
        <v>334</v>
      </c>
      <c r="F131" s="28" t="s">
        <v>348</v>
      </c>
      <c r="G131" s="49" t="s">
        <v>349</v>
      </c>
      <c r="H131" s="15" t="s">
        <v>350</v>
      </c>
      <c r="I131" s="66" t="s">
        <v>338</v>
      </c>
      <c r="J131" s="14" t="s">
        <v>657</v>
      </c>
      <c r="K131" s="14" t="s">
        <v>270</v>
      </c>
    </row>
    <row r="132" spans="1:11" ht="29.25" customHeight="1" x14ac:dyDescent="0.3">
      <c r="A132" s="16" t="s">
        <v>317</v>
      </c>
      <c r="B132" s="66" t="s">
        <v>271</v>
      </c>
      <c r="C132" s="58" t="s">
        <v>103</v>
      </c>
      <c r="D132" s="49" t="s">
        <v>654</v>
      </c>
      <c r="E132" s="73" t="s">
        <v>334</v>
      </c>
      <c r="F132" s="28" t="s">
        <v>658</v>
      </c>
      <c r="G132" s="49" t="s">
        <v>412</v>
      </c>
      <c r="H132" s="15" t="s">
        <v>413</v>
      </c>
      <c r="I132" s="66" t="s">
        <v>338</v>
      </c>
      <c r="J132" s="14" t="s">
        <v>659</v>
      </c>
      <c r="K132" s="14" t="s">
        <v>270</v>
      </c>
    </row>
    <row r="133" spans="1:11" ht="29.25" customHeight="1" x14ac:dyDescent="0.3">
      <c r="A133" s="16" t="s">
        <v>317</v>
      </c>
      <c r="B133" s="66" t="s">
        <v>271</v>
      </c>
      <c r="C133" s="58" t="s">
        <v>103</v>
      </c>
      <c r="D133" s="49" t="s">
        <v>654</v>
      </c>
      <c r="E133" s="74" t="s">
        <v>347</v>
      </c>
      <c r="F133" s="28" t="s">
        <v>660</v>
      </c>
      <c r="G133" s="49" t="s">
        <v>661</v>
      </c>
      <c r="H133" s="15" t="s">
        <v>364</v>
      </c>
      <c r="I133" s="66" t="s">
        <v>338</v>
      </c>
      <c r="J133" s="22" t="s">
        <v>662</v>
      </c>
      <c r="K133" s="14" t="s">
        <v>663</v>
      </c>
    </row>
    <row r="134" spans="1:11" ht="31.2" customHeight="1" x14ac:dyDescent="0.3">
      <c r="A134" s="16" t="s">
        <v>309</v>
      </c>
      <c r="B134" s="66" t="s">
        <v>271</v>
      </c>
      <c r="C134" s="58" t="s">
        <v>103</v>
      </c>
      <c r="D134" s="49" t="s">
        <v>664</v>
      </c>
      <c r="E134" s="73" t="s">
        <v>334</v>
      </c>
      <c r="F134" s="28" t="s">
        <v>500</v>
      </c>
      <c r="G134" s="49" t="s">
        <v>501</v>
      </c>
      <c r="H134" s="15" t="s">
        <v>502</v>
      </c>
      <c r="I134" s="66" t="s">
        <v>338</v>
      </c>
      <c r="J134" s="22" t="s">
        <v>665</v>
      </c>
      <c r="K134" s="22" t="s">
        <v>666</v>
      </c>
    </row>
    <row r="135" spans="1:11" ht="31.2" customHeight="1" x14ac:dyDescent="0.3">
      <c r="A135" s="16" t="s">
        <v>309</v>
      </c>
      <c r="B135" s="66" t="s">
        <v>271</v>
      </c>
      <c r="C135" s="58" t="s">
        <v>103</v>
      </c>
      <c r="D135" s="49" t="s">
        <v>664</v>
      </c>
      <c r="E135" s="73" t="s">
        <v>334</v>
      </c>
      <c r="F135" s="28" t="s">
        <v>530</v>
      </c>
      <c r="G135" s="49" t="s">
        <v>531</v>
      </c>
      <c r="H135" s="15" t="s">
        <v>532</v>
      </c>
      <c r="I135" s="66" t="s">
        <v>338</v>
      </c>
      <c r="J135" s="49" t="s">
        <v>667</v>
      </c>
      <c r="K135" s="22" t="s">
        <v>668</v>
      </c>
    </row>
    <row r="136" spans="1:11" ht="29.25" customHeight="1" x14ac:dyDescent="0.3">
      <c r="A136" s="16" t="s">
        <v>309</v>
      </c>
      <c r="B136" s="66" t="s">
        <v>271</v>
      </c>
      <c r="C136" s="58" t="s">
        <v>103</v>
      </c>
      <c r="D136" s="49" t="s">
        <v>664</v>
      </c>
      <c r="E136" s="73" t="s">
        <v>334</v>
      </c>
      <c r="F136" s="28" t="s">
        <v>612</v>
      </c>
      <c r="G136" s="49" t="s">
        <v>613</v>
      </c>
      <c r="H136" s="15" t="s">
        <v>614</v>
      </c>
      <c r="I136" s="66" t="s">
        <v>338</v>
      </c>
      <c r="J136" s="49" t="s">
        <v>615</v>
      </c>
      <c r="K136" s="14" t="s">
        <v>616</v>
      </c>
    </row>
    <row r="137" spans="1:11" ht="29.25" customHeight="1" x14ac:dyDescent="0.3">
      <c r="A137" s="16" t="s">
        <v>309</v>
      </c>
      <c r="B137" s="66" t="s">
        <v>271</v>
      </c>
      <c r="C137" s="58" t="s">
        <v>103</v>
      </c>
      <c r="D137" s="49" t="s">
        <v>664</v>
      </c>
      <c r="E137" s="73" t="s">
        <v>334</v>
      </c>
      <c r="F137" s="28" t="s">
        <v>617</v>
      </c>
      <c r="G137" s="49" t="s">
        <v>618</v>
      </c>
      <c r="H137" s="15" t="s">
        <v>619</v>
      </c>
      <c r="I137" s="66" t="s">
        <v>338</v>
      </c>
      <c r="J137" s="49" t="s">
        <v>620</v>
      </c>
      <c r="K137" s="14" t="s">
        <v>621</v>
      </c>
    </row>
    <row r="138" spans="1:11" ht="31.2" customHeight="1" x14ac:dyDescent="0.3">
      <c r="A138" s="16" t="s">
        <v>309</v>
      </c>
      <c r="B138" s="66" t="s">
        <v>271</v>
      </c>
      <c r="C138" s="58" t="s">
        <v>103</v>
      </c>
      <c r="D138" s="49" t="s">
        <v>664</v>
      </c>
      <c r="E138" s="73" t="s">
        <v>334</v>
      </c>
      <c r="F138" s="28" t="s">
        <v>622</v>
      </c>
      <c r="G138" s="49" t="s">
        <v>623</v>
      </c>
      <c r="H138" s="15" t="s">
        <v>624</v>
      </c>
      <c r="I138" s="66" t="s">
        <v>344</v>
      </c>
      <c r="J138" s="22" t="s">
        <v>669</v>
      </c>
      <c r="K138" s="22" t="s">
        <v>670</v>
      </c>
    </row>
    <row r="139" spans="1:11" ht="31.2" customHeight="1" x14ac:dyDescent="0.3">
      <c r="A139" s="16" t="s">
        <v>309</v>
      </c>
      <c r="B139" s="66" t="s">
        <v>271</v>
      </c>
      <c r="C139" s="58" t="s">
        <v>103</v>
      </c>
      <c r="D139" s="49" t="s">
        <v>664</v>
      </c>
      <c r="E139" s="73" t="s">
        <v>334</v>
      </c>
      <c r="F139" s="28" t="s">
        <v>627</v>
      </c>
      <c r="G139" s="49" t="s">
        <v>628</v>
      </c>
      <c r="H139" s="15" t="s">
        <v>629</v>
      </c>
      <c r="I139" s="66" t="s">
        <v>344</v>
      </c>
      <c r="J139" s="22" t="s">
        <v>630</v>
      </c>
      <c r="K139" s="22" t="s">
        <v>270</v>
      </c>
    </row>
    <row r="140" spans="1:11" ht="31.2" customHeight="1" x14ac:dyDescent="0.3">
      <c r="A140" s="16" t="s">
        <v>309</v>
      </c>
      <c r="B140" s="66" t="s">
        <v>271</v>
      </c>
      <c r="C140" s="58" t="s">
        <v>103</v>
      </c>
      <c r="D140" s="49" t="s">
        <v>664</v>
      </c>
      <c r="E140" s="73" t="s">
        <v>334</v>
      </c>
      <c r="F140" s="28" t="s">
        <v>631</v>
      </c>
      <c r="G140" s="49" t="s">
        <v>632</v>
      </c>
      <c r="H140" s="15" t="s">
        <v>633</v>
      </c>
      <c r="I140" s="66" t="s">
        <v>344</v>
      </c>
      <c r="J140" s="22" t="s">
        <v>634</v>
      </c>
      <c r="K140" s="22" t="s">
        <v>635</v>
      </c>
    </row>
    <row r="141" spans="1:11" ht="31.2" customHeight="1" x14ac:dyDescent="0.3">
      <c r="A141" s="16" t="s">
        <v>309</v>
      </c>
      <c r="B141" s="66" t="s">
        <v>271</v>
      </c>
      <c r="C141" s="58" t="s">
        <v>103</v>
      </c>
      <c r="D141" s="49" t="s">
        <v>664</v>
      </c>
      <c r="E141" s="74" t="s">
        <v>347</v>
      </c>
      <c r="F141" s="28" t="s">
        <v>636</v>
      </c>
      <c r="G141" s="49" t="s">
        <v>671</v>
      </c>
      <c r="H141" s="15" t="s">
        <v>638</v>
      </c>
      <c r="I141" s="66" t="s">
        <v>338</v>
      </c>
      <c r="J141" s="22" t="s">
        <v>672</v>
      </c>
      <c r="K141" s="22" t="s">
        <v>673</v>
      </c>
    </row>
    <row r="142" spans="1:11" ht="29.25" customHeight="1" x14ac:dyDescent="0.3">
      <c r="A142" s="16" t="s">
        <v>309</v>
      </c>
      <c r="B142" s="66" t="s">
        <v>271</v>
      </c>
      <c r="C142" s="58" t="s">
        <v>103</v>
      </c>
      <c r="D142" s="49" t="s">
        <v>664</v>
      </c>
      <c r="E142" s="74" t="s">
        <v>347</v>
      </c>
      <c r="F142" s="28" t="s">
        <v>640</v>
      </c>
      <c r="G142" s="49" t="s">
        <v>641</v>
      </c>
      <c r="H142" s="15" t="s">
        <v>448</v>
      </c>
      <c r="I142" s="66" t="s">
        <v>338</v>
      </c>
      <c r="J142" s="49" t="s">
        <v>642</v>
      </c>
      <c r="K142" s="14" t="s">
        <v>674</v>
      </c>
    </row>
    <row r="143" spans="1:11" ht="31.2" customHeight="1" x14ac:dyDescent="0.3">
      <c r="A143" s="16" t="s">
        <v>309</v>
      </c>
      <c r="B143" s="66" t="s">
        <v>271</v>
      </c>
      <c r="C143" s="58" t="s">
        <v>103</v>
      </c>
      <c r="D143" s="49" t="s">
        <v>664</v>
      </c>
      <c r="E143" s="74" t="s">
        <v>347</v>
      </c>
      <c r="F143" s="28" t="s">
        <v>644</v>
      </c>
      <c r="G143" s="49" t="s">
        <v>645</v>
      </c>
      <c r="H143" s="15" t="s">
        <v>646</v>
      </c>
      <c r="I143" s="66" t="s">
        <v>338</v>
      </c>
      <c r="J143" s="49" t="s">
        <v>675</v>
      </c>
      <c r="K143" s="22" t="s">
        <v>676</v>
      </c>
    </row>
    <row r="144" spans="1:11" ht="31.2" customHeight="1" x14ac:dyDescent="0.3">
      <c r="A144" s="16" t="s">
        <v>309</v>
      </c>
      <c r="B144" s="66" t="s">
        <v>271</v>
      </c>
      <c r="C144" s="58" t="s">
        <v>103</v>
      </c>
      <c r="D144" s="49" t="s">
        <v>664</v>
      </c>
      <c r="E144" s="74" t="s">
        <v>347</v>
      </c>
      <c r="F144" s="28" t="s">
        <v>649</v>
      </c>
      <c r="G144" s="49" t="s">
        <v>650</v>
      </c>
      <c r="H144" s="15" t="s">
        <v>651</v>
      </c>
      <c r="I144" s="66" t="s">
        <v>338</v>
      </c>
      <c r="J144" s="49" t="s">
        <v>677</v>
      </c>
      <c r="K144" s="22" t="s">
        <v>678</v>
      </c>
    </row>
    <row r="145" spans="1:11" ht="31.2" customHeight="1" x14ac:dyDescent="0.3">
      <c r="A145" s="16" t="s">
        <v>309</v>
      </c>
      <c r="B145" s="66" t="s">
        <v>271</v>
      </c>
      <c r="C145" s="58" t="s">
        <v>103</v>
      </c>
      <c r="D145" s="49" t="s">
        <v>664</v>
      </c>
      <c r="E145" s="74" t="s">
        <v>347</v>
      </c>
      <c r="F145" s="28" t="s">
        <v>679</v>
      </c>
      <c r="G145" s="49" t="s">
        <v>680</v>
      </c>
      <c r="H145" s="15" t="s">
        <v>681</v>
      </c>
      <c r="I145" s="66" t="s">
        <v>338</v>
      </c>
      <c r="J145" s="49" t="s">
        <v>682</v>
      </c>
      <c r="K145" s="22" t="s">
        <v>683</v>
      </c>
    </row>
    <row r="146" spans="1:11" ht="31.2" customHeight="1" x14ac:dyDescent="0.3">
      <c r="A146" s="23" t="s">
        <v>300</v>
      </c>
      <c r="B146" s="66" t="s">
        <v>271</v>
      </c>
      <c r="C146" s="63" t="s">
        <v>115</v>
      </c>
      <c r="D146" s="49" t="s">
        <v>684</v>
      </c>
      <c r="E146" s="73" t="s">
        <v>334</v>
      </c>
      <c r="F146" s="28" t="s">
        <v>470</v>
      </c>
      <c r="G146" s="49" t="s">
        <v>471</v>
      </c>
      <c r="H146" s="15" t="s">
        <v>472</v>
      </c>
      <c r="I146" s="66" t="s">
        <v>338</v>
      </c>
      <c r="J146" s="49" t="s">
        <v>685</v>
      </c>
      <c r="K146" s="30" t="s">
        <v>686</v>
      </c>
    </row>
    <row r="147" spans="1:11" ht="31.2" customHeight="1" x14ac:dyDescent="0.3">
      <c r="A147" s="23" t="s">
        <v>300</v>
      </c>
      <c r="B147" s="66" t="s">
        <v>271</v>
      </c>
      <c r="C147" s="63" t="s">
        <v>115</v>
      </c>
      <c r="D147" s="49" t="s">
        <v>684</v>
      </c>
      <c r="E147" s="73" t="s">
        <v>334</v>
      </c>
      <c r="F147" s="28" t="s">
        <v>658</v>
      </c>
      <c r="G147" s="49" t="s">
        <v>412</v>
      </c>
      <c r="H147" s="15" t="s">
        <v>413</v>
      </c>
      <c r="I147" s="66" t="s">
        <v>338</v>
      </c>
      <c r="J147" s="30" t="s">
        <v>687</v>
      </c>
      <c r="K147" s="30" t="s">
        <v>688</v>
      </c>
    </row>
    <row r="148" spans="1:11" ht="31.2" customHeight="1" x14ac:dyDescent="0.3">
      <c r="A148" s="23" t="s">
        <v>300</v>
      </c>
      <c r="B148" s="66" t="s">
        <v>271</v>
      </c>
      <c r="C148" s="63" t="s">
        <v>115</v>
      </c>
      <c r="D148" s="49" t="s">
        <v>684</v>
      </c>
      <c r="E148" s="73" t="s">
        <v>334</v>
      </c>
      <c r="F148" s="28" t="s">
        <v>357</v>
      </c>
      <c r="G148" s="49" t="s">
        <v>358</v>
      </c>
      <c r="H148" s="15" t="s">
        <v>359</v>
      </c>
      <c r="I148" s="66" t="s">
        <v>338</v>
      </c>
      <c r="J148" s="30" t="s">
        <v>689</v>
      </c>
      <c r="K148" s="30" t="s">
        <v>690</v>
      </c>
    </row>
    <row r="149" spans="1:11" ht="31.2" customHeight="1" x14ac:dyDescent="0.3">
      <c r="A149" s="23" t="s">
        <v>300</v>
      </c>
      <c r="B149" s="66" t="s">
        <v>271</v>
      </c>
      <c r="C149" s="63" t="s">
        <v>115</v>
      </c>
      <c r="D149" s="49" t="s">
        <v>684</v>
      </c>
      <c r="E149" s="73" t="s">
        <v>334</v>
      </c>
      <c r="F149" s="28" t="s">
        <v>446</v>
      </c>
      <c r="G149" s="49" t="s">
        <v>691</v>
      </c>
      <c r="H149" s="15" t="s">
        <v>448</v>
      </c>
      <c r="I149" s="66" t="s">
        <v>338</v>
      </c>
      <c r="J149" s="49" t="s">
        <v>692</v>
      </c>
      <c r="K149" s="30" t="s">
        <v>693</v>
      </c>
    </row>
    <row r="150" spans="1:11" ht="31.2" customHeight="1" x14ac:dyDescent="0.3">
      <c r="A150" s="23" t="s">
        <v>300</v>
      </c>
      <c r="B150" s="66" t="s">
        <v>271</v>
      </c>
      <c r="C150" s="63" t="s">
        <v>115</v>
      </c>
      <c r="D150" s="49" t="s">
        <v>684</v>
      </c>
      <c r="E150" s="73" t="s">
        <v>334</v>
      </c>
      <c r="F150" s="28" t="s">
        <v>372</v>
      </c>
      <c r="G150" s="49" t="s">
        <v>373</v>
      </c>
      <c r="H150" s="15" t="s">
        <v>374</v>
      </c>
      <c r="I150" s="66" t="s">
        <v>344</v>
      </c>
      <c r="J150" s="49" t="s">
        <v>694</v>
      </c>
      <c r="K150" s="30" t="s">
        <v>270</v>
      </c>
    </row>
    <row r="151" spans="1:11" ht="31.2" customHeight="1" x14ac:dyDescent="0.3">
      <c r="A151" s="23" t="s">
        <v>300</v>
      </c>
      <c r="B151" s="66" t="s">
        <v>271</v>
      </c>
      <c r="C151" s="63" t="s">
        <v>115</v>
      </c>
      <c r="D151" s="49" t="s">
        <v>684</v>
      </c>
      <c r="E151" s="73" t="s">
        <v>334</v>
      </c>
      <c r="F151" s="28" t="s">
        <v>460</v>
      </c>
      <c r="G151" s="49" t="s">
        <v>461</v>
      </c>
      <c r="H151" s="15" t="s">
        <v>462</v>
      </c>
      <c r="I151" s="66" t="s">
        <v>338</v>
      </c>
      <c r="J151" s="49" t="s">
        <v>695</v>
      </c>
      <c r="K151" s="30" t="s">
        <v>270</v>
      </c>
    </row>
    <row r="152" spans="1:11" ht="31.2" customHeight="1" x14ac:dyDescent="0.3">
      <c r="A152" s="23" t="s">
        <v>300</v>
      </c>
      <c r="B152" s="66" t="s">
        <v>271</v>
      </c>
      <c r="C152" s="63" t="s">
        <v>115</v>
      </c>
      <c r="D152" s="49" t="s">
        <v>684</v>
      </c>
      <c r="E152" s="74" t="s">
        <v>347</v>
      </c>
      <c r="F152" s="28" t="s">
        <v>550</v>
      </c>
      <c r="G152" s="49" t="s">
        <v>551</v>
      </c>
      <c r="H152" s="15" t="s">
        <v>462</v>
      </c>
      <c r="I152" s="66" t="s">
        <v>338</v>
      </c>
      <c r="J152" s="49" t="s">
        <v>696</v>
      </c>
      <c r="K152" s="30" t="s">
        <v>697</v>
      </c>
    </row>
    <row r="153" spans="1:11" ht="15" customHeight="1" x14ac:dyDescent="0.3">
      <c r="A153" s="16" t="s">
        <v>291</v>
      </c>
      <c r="B153" s="15" t="s">
        <v>290</v>
      </c>
      <c r="C153" s="58" t="s">
        <v>103</v>
      </c>
      <c r="D153" s="49" t="s">
        <v>292</v>
      </c>
      <c r="E153" s="73" t="s">
        <v>334</v>
      </c>
      <c r="F153" s="28" t="s">
        <v>470</v>
      </c>
      <c r="G153" s="49" t="s">
        <v>471</v>
      </c>
      <c r="H153" s="15" t="s">
        <v>472</v>
      </c>
      <c r="I153" s="66" t="s">
        <v>338</v>
      </c>
      <c r="J153" s="49" t="s">
        <v>698</v>
      </c>
      <c r="K153" s="14" t="s">
        <v>270</v>
      </c>
    </row>
    <row r="154" spans="1:11" ht="31.2" customHeight="1" x14ac:dyDescent="0.3">
      <c r="A154" s="16" t="s">
        <v>291</v>
      </c>
      <c r="B154" s="15" t="s">
        <v>290</v>
      </c>
      <c r="C154" s="58" t="s">
        <v>103</v>
      </c>
      <c r="D154" s="49" t="s">
        <v>292</v>
      </c>
      <c r="E154" s="73" t="s">
        <v>334</v>
      </c>
      <c r="F154" s="28" t="s">
        <v>513</v>
      </c>
      <c r="G154" s="49" t="s">
        <v>514</v>
      </c>
      <c r="H154" s="15" t="s">
        <v>515</v>
      </c>
      <c r="I154" s="66" t="s">
        <v>338</v>
      </c>
      <c r="J154" s="49" t="s">
        <v>699</v>
      </c>
      <c r="K154" s="14" t="s">
        <v>270</v>
      </c>
    </row>
    <row r="155" spans="1:11" ht="15" customHeight="1" x14ac:dyDescent="0.3">
      <c r="A155" s="16" t="s">
        <v>291</v>
      </c>
      <c r="B155" s="15" t="s">
        <v>290</v>
      </c>
      <c r="C155" s="58" t="s">
        <v>103</v>
      </c>
      <c r="D155" s="49" t="s">
        <v>292</v>
      </c>
      <c r="E155" s="73" t="s">
        <v>334</v>
      </c>
      <c r="F155" s="28" t="s">
        <v>525</v>
      </c>
      <c r="G155" s="49" t="s">
        <v>526</v>
      </c>
      <c r="H155" s="15" t="s">
        <v>527</v>
      </c>
      <c r="I155" s="66" t="s">
        <v>338</v>
      </c>
      <c r="J155" s="49" t="s">
        <v>528</v>
      </c>
      <c r="K155" s="14" t="s">
        <v>270</v>
      </c>
    </row>
    <row r="156" spans="1:11" ht="15" customHeight="1" x14ac:dyDescent="0.3">
      <c r="A156" s="16" t="s">
        <v>291</v>
      </c>
      <c r="B156" s="15" t="s">
        <v>290</v>
      </c>
      <c r="C156" s="58" t="s">
        <v>103</v>
      </c>
      <c r="D156" s="49" t="s">
        <v>292</v>
      </c>
      <c r="E156" s="73" t="s">
        <v>334</v>
      </c>
      <c r="F156" s="28" t="s">
        <v>636</v>
      </c>
      <c r="G156" s="49" t="s">
        <v>637</v>
      </c>
      <c r="H156" s="15" t="s">
        <v>638</v>
      </c>
      <c r="I156" s="66" t="s">
        <v>338</v>
      </c>
      <c r="J156" s="49" t="s">
        <v>700</v>
      </c>
      <c r="K156" s="14" t="s">
        <v>270</v>
      </c>
    </row>
    <row r="157" spans="1:11" ht="31.2" customHeight="1" x14ac:dyDescent="0.3">
      <c r="A157" s="16" t="s">
        <v>291</v>
      </c>
      <c r="B157" s="15" t="s">
        <v>290</v>
      </c>
      <c r="C157" s="58" t="s">
        <v>103</v>
      </c>
      <c r="D157" s="49" t="s">
        <v>292</v>
      </c>
      <c r="E157" s="73" t="s">
        <v>334</v>
      </c>
      <c r="F157" s="28" t="s">
        <v>701</v>
      </c>
      <c r="G157" s="49" t="s">
        <v>702</v>
      </c>
      <c r="H157" s="15" t="s">
        <v>703</v>
      </c>
      <c r="I157" s="66" t="s">
        <v>338</v>
      </c>
      <c r="J157" s="49" t="s">
        <v>704</v>
      </c>
      <c r="K157" s="14" t="s">
        <v>270</v>
      </c>
    </row>
    <row r="158" spans="1:11" ht="15" customHeight="1" x14ac:dyDescent="0.3">
      <c r="A158" s="16" t="s">
        <v>291</v>
      </c>
      <c r="B158" s="15" t="s">
        <v>290</v>
      </c>
      <c r="C158" s="58" t="s">
        <v>103</v>
      </c>
      <c r="D158" s="49" t="s">
        <v>292</v>
      </c>
      <c r="E158" s="74" t="s">
        <v>347</v>
      </c>
      <c r="F158" s="28" t="s">
        <v>705</v>
      </c>
      <c r="G158" s="49" t="s">
        <v>706</v>
      </c>
      <c r="H158" s="15" t="s">
        <v>707</v>
      </c>
      <c r="I158" s="66" t="s">
        <v>338</v>
      </c>
      <c r="J158" s="49" t="s">
        <v>708</v>
      </c>
      <c r="K158" s="14" t="s">
        <v>270</v>
      </c>
    </row>
    <row r="159" spans="1:11" ht="31.2" customHeight="1" x14ac:dyDescent="0.3">
      <c r="A159" s="16" t="s">
        <v>291</v>
      </c>
      <c r="B159" s="15" t="s">
        <v>290</v>
      </c>
      <c r="C159" s="58" t="s">
        <v>103</v>
      </c>
      <c r="D159" s="49" t="s">
        <v>292</v>
      </c>
      <c r="E159" s="74" t="s">
        <v>347</v>
      </c>
      <c r="F159" s="28" t="s">
        <v>709</v>
      </c>
      <c r="G159" s="49" t="s">
        <v>710</v>
      </c>
      <c r="H159" s="15" t="s">
        <v>364</v>
      </c>
      <c r="I159" s="66" t="s">
        <v>338</v>
      </c>
      <c r="J159" s="49" t="s">
        <v>711</v>
      </c>
      <c r="K159" s="49" t="s">
        <v>712</v>
      </c>
    </row>
  </sheetData>
  <autoFilter ref="A1:K159" xr:uid="{00000000-0009-0000-0000-000002000000}"/>
  <phoneticPr fontId="17" type="noConversion"/>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27"/>
  <sheetViews>
    <sheetView zoomScaleNormal="100" workbookViewId="0"/>
  </sheetViews>
  <sheetFormatPr defaultColWidth="8.6640625" defaultRowHeight="14.4" x14ac:dyDescent="0.3"/>
  <cols>
    <col min="1" max="1" width="22" customWidth="1"/>
    <col min="2" max="2" width="18" customWidth="1"/>
    <col min="3" max="3" width="24" customWidth="1"/>
    <col min="4" max="4" width="34" customWidth="1"/>
    <col min="5" max="5" width="8" customWidth="1"/>
    <col min="6" max="6" width="62" customWidth="1"/>
  </cols>
  <sheetData>
    <row r="1" spans="1:6" ht="26.25" customHeight="1" x14ac:dyDescent="0.3">
      <c r="A1" s="48" t="s">
        <v>330</v>
      </c>
      <c r="B1" s="48" t="s">
        <v>329</v>
      </c>
      <c r="C1" s="48" t="s">
        <v>713</v>
      </c>
      <c r="D1" s="48" t="s">
        <v>714</v>
      </c>
      <c r="E1" s="10" t="s">
        <v>715</v>
      </c>
      <c r="F1" s="48" t="s">
        <v>716</v>
      </c>
    </row>
    <row r="2" spans="1:6" ht="15" customHeight="1" x14ac:dyDescent="0.3">
      <c r="A2" s="31" t="s">
        <v>717</v>
      </c>
      <c r="B2" s="67" t="s">
        <v>718</v>
      </c>
      <c r="C2" s="32" t="s">
        <v>719</v>
      </c>
      <c r="D2" s="32" t="s">
        <v>364</v>
      </c>
      <c r="E2" s="33" t="s">
        <v>720</v>
      </c>
      <c r="F2" s="34" t="s">
        <v>721</v>
      </c>
    </row>
    <row r="3" spans="1:6" ht="15" customHeight="1" x14ac:dyDescent="0.3">
      <c r="A3" s="28"/>
      <c r="B3" s="49"/>
      <c r="C3" s="17" t="s">
        <v>722</v>
      </c>
      <c r="D3" s="17" t="s">
        <v>723</v>
      </c>
      <c r="E3" s="15" t="s">
        <v>720</v>
      </c>
      <c r="F3" s="49" t="s">
        <v>724</v>
      </c>
    </row>
    <row r="4" spans="1:6" ht="15" customHeight="1" x14ac:dyDescent="0.3">
      <c r="A4" s="28"/>
      <c r="B4" s="49"/>
      <c r="C4" s="17" t="s">
        <v>725</v>
      </c>
      <c r="D4" s="17" t="s">
        <v>364</v>
      </c>
      <c r="E4" s="15" t="s">
        <v>720</v>
      </c>
      <c r="F4" s="49" t="s">
        <v>726</v>
      </c>
    </row>
    <row r="5" spans="1:6" ht="15" customHeight="1" x14ac:dyDescent="0.3">
      <c r="A5" s="28"/>
      <c r="B5" s="49"/>
      <c r="C5" s="17" t="s">
        <v>727</v>
      </c>
      <c r="D5" s="17" t="s">
        <v>364</v>
      </c>
      <c r="E5" s="15" t="s">
        <v>720</v>
      </c>
      <c r="F5" s="49" t="s">
        <v>728</v>
      </c>
    </row>
    <row r="6" spans="1:6" ht="46.8" customHeight="1" x14ac:dyDescent="0.3">
      <c r="A6" s="28"/>
      <c r="B6" s="49"/>
      <c r="C6" s="17" t="s">
        <v>729</v>
      </c>
      <c r="D6" s="17" t="s">
        <v>730</v>
      </c>
      <c r="E6" s="15" t="s">
        <v>720</v>
      </c>
      <c r="F6" s="49" t="s">
        <v>731</v>
      </c>
    </row>
    <row r="7" spans="1:6" ht="15" customHeight="1" x14ac:dyDescent="0.3">
      <c r="A7" s="28"/>
      <c r="B7" s="49"/>
      <c r="C7" s="17" t="s">
        <v>732</v>
      </c>
      <c r="D7" s="17" t="s">
        <v>733</v>
      </c>
      <c r="E7" s="15" t="s">
        <v>720</v>
      </c>
      <c r="F7" s="49" t="s">
        <v>734</v>
      </c>
    </row>
    <row r="8" spans="1:6" ht="15" customHeight="1" x14ac:dyDescent="0.3">
      <c r="A8" s="28"/>
      <c r="B8" s="49"/>
      <c r="C8" s="17" t="s">
        <v>735</v>
      </c>
      <c r="D8" s="17" t="s">
        <v>32</v>
      </c>
      <c r="E8" s="15" t="s">
        <v>720</v>
      </c>
      <c r="F8" s="49" t="s">
        <v>736</v>
      </c>
    </row>
    <row r="9" spans="1:6" ht="46.8" customHeight="1" x14ac:dyDescent="0.3">
      <c r="A9" s="28"/>
      <c r="B9" s="49"/>
      <c r="C9" s="17" t="s">
        <v>737</v>
      </c>
      <c r="D9" s="17" t="s">
        <v>738</v>
      </c>
      <c r="E9" s="15" t="s">
        <v>720</v>
      </c>
      <c r="F9" s="49" t="s">
        <v>739</v>
      </c>
    </row>
    <row r="10" spans="1:6" ht="46.8" customHeight="1" x14ac:dyDescent="0.3">
      <c r="A10" s="31" t="s">
        <v>740</v>
      </c>
      <c r="B10" s="67" t="s">
        <v>741</v>
      </c>
      <c r="C10" s="32" t="s">
        <v>742</v>
      </c>
      <c r="D10" s="32" t="s">
        <v>743</v>
      </c>
      <c r="E10" s="33" t="s">
        <v>720</v>
      </c>
      <c r="F10" s="34" t="s">
        <v>744</v>
      </c>
    </row>
    <row r="11" spans="1:6" ht="15" customHeight="1" x14ac:dyDescent="0.3">
      <c r="A11" s="28"/>
      <c r="B11" s="49"/>
      <c r="C11" s="17" t="s">
        <v>745</v>
      </c>
      <c r="D11" s="17" t="s">
        <v>403</v>
      </c>
      <c r="E11" s="15" t="s">
        <v>720</v>
      </c>
      <c r="F11" s="49" t="s">
        <v>746</v>
      </c>
    </row>
    <row r="12" spans="1:6" ht="15" customHeight="1" x14ac:dyDescent="0.3">
      <c r="A12" s="28"/>
      <c r="B12" s="49"/>
      <c r="C12" s="17" t="s">
        <v>747</v>
      </c>
      <c r="D12" s="17" t="s">
        <v>403</v>
      </c>
      <c r="E12" s="15" t="s">
        <v>720</v>
      </c>
      <c r="F12" s="49" t="s">
        <v>748</v>
      </c>
    </row>
    <row r="13" spans="1:6" ht="15" customHeight="1" x14ac:dyDescent="0.3">
      <c r="A13" s="28"/>
      <c r="B13" s="49"/>
      <c r="C13" s="17" t="s">
        <v>749</v>
      </c>
      <c r="D13" s="17" t="s">
        <v>750</v>
      </c>
      <c r="E13" s="15" t="s">
        <v>751</v>
      </c>
      <c r="F13" s="49" t="s">
        <v>752</v>
      </c>
    </row>
    <row r="14" spans="1:6" ht="31.2" customHeight="1" x14ac:dyDescent="0.3">
      <c r="A14" s="28"/>
      <c r="B14" s="49"/>
      <c r="C14" s="17" t="s">
        <v>753</v>
      </c>
      <c r="D14" s="17" t="s">
        <v>750</v>
      </c>
      <c r="E14" s="15" t="s">
        <v>751</v>
      </c>
      <c r="F14" s="49" t="s">
        <v>754</v>
      </c>
    </row>
    <row r="15" spans="1:6" ht="15" customHeight="1" x14ac:dyDescent="0.3">
      <c r="A15" s="31" t="s">
        <v>755</v>
      </c>
      <c r="B15" s="67" t="s">
        <v>756</v>
      </c>
      <c r="C15" s="32" t="s">
        <v>757</v>
      </c>
      <c r="D15" s="32" t="s">
        <v>364</v>
      </c>
      <c r="E15" s="33" t="s">
        <v>720</v>
      </c>
      <c r="F15" s="34" t="s">
        <v>758</v>
      </c>
    </row>
    <row r="16" spans="1:6" ht="15" customHeight="1" x14ac:dyDescent="0.3">
      <c r="A16" s="28"/>
      <c r="B16" s="49"/>
      <c r="C16" s="17" t="s">
        <v>719</v>
      </c>
      <c r="D16" s="17" t="s">
        <v>364</v>
      </c>
      <c r="E16" s="15" t="s">
        <v>720</v>
      </c>
      <c r="F16" s="49" t="s">
        <v>759</v>
      </c>
    </row>
    <row r="17" spans="1:6" ht="31.2" customHeight="1" x14ac:dyDescent="0.3">
      <c r="A17" s="28"/>
      <c r="B17" s="49"/>
      <c r="C17" s="17" t="s">
        <v>760</v>
      </c>
      <c r="D17" s="17" t="s">
        <v>761</v>
      </c>
      <c r="E17" s="15" t="s">
        <v>720</v>
      </c>
      <c r="F17" s="49" t="s">
        <v>762</v>
      </c>
    </row>
    <row r="18" spans="1:6" ht="15" customHeight="1" x14ac:dyDescent="0.3">
      <c r="A18" s="28"/>
      <c r="B18" s="49"/>
      <c r="C18" s="17" t="s">
        <v>763</v>
      </c>
      <c r="D18" s="17" t="s">
        <v>764</v>
      </c>
      <c r="E18" s="15" t="s">
        <v>751</v>
      </c>
      <c r="F18" s="49" t="s">
        <v>765</v>
      </c>
    </row>
    <row r="19" spans="1:6" ht="15" customHeight="1" x14ac:dyDescent="0.3">
      <c r="A19" s="28"/>
      <c r="B19" s="49"/>
      <c r="C19" s="17" t="s">
        <v>766</v>
      </c>
      <c r="D19" s="17" t="s">
        <v>767</v>
      </c>
      <c r="E19" s="15" t="s">
        <v>720</v>
      </c>
      <c r="F19" s="49" t="s">
        <v>768</v>
      </c>
    </row>
    <row r="20" spans="1:6" ht="15" customHeight="1" x14ac:dyDescent="0.3">
      <c r="A20" s="28"/>
      <c r="B20" s="49"/>
      <c r="C20" s="17" t="s">
        <v>769</v>
      </c>
      <c r="D20" s="17" t="s">
        <v>770</v>
      </c>
      <c r="E20" s="15" t="s">
        <v>720</v>
      </c>
      <c r="F20" s="49" t="s">
        <v>771</v>
      </c>
    </row>
    <row r="21" spans="1:6" ht="31.2" customHeight="1" x14ac:dyDescent="0.3">
      <c r="A21" s="28"/>
      <c r="B21" s="49"/>
      <c r="C21" s="17" t="s">
        <v>772</v>
      </c>
      <c r="D21" s="17" t="s">
        <v>773</v>
      </c>
      <c r="E21" s="15" t="s">
        <v>720</v>
      </c>
      <c r="F21" s="49" t="s">
        <v>774</v>
      </c>
    </row>
    <row r="22" spans="1:6" ht="31.2" customHeight="1" x14ac:dyDescent="0.3">
      <c r="A22" s="28"/>
      <c r="B22" s="49"/>
      <c r="C22" s="17" t="s">
        <v>617</v>
      </c>
      <c r="D22" s="17" t="s">
        <v>619</v>
      </c>
      <c r="E22" s="15" t="s">
        <v>720</v>
      </c>
      <c r="F22" s="49" t="s">
        <v>775</v>
      </c>
    </row>
    <row r="23" spans="1:6" ht="46.8" customHeight="1" x14ac:dyDescent="0.3">
      <c r="A23" s="28"/>
      <c r="B23" s="49"/>
      <c r="C23" s="17" t="s">
        <v>776</v>
      </c>
      <c r="D23" s="17" t="s">
        <v>777</v>
      </c>
      <c r="E23" s="15" t="s">
        <v>751</v>
      </c>
      <c r="F23" s="49" t="s">
        <v>778</v>
      </c>
    </row>
    <row r="24" spans="1:6" ht="15" customHeight="1" x14ac:dyDescent="0.3">
      <c r="A24" s="28"/>
      <c r="B24" s="49"/>
      <c r="C24" s="17" t="s">
        <v>779</v>
      </c>
      <c r="D24" s="17" t="s">
        <v>764</v>
      </c>
      <c r="E24" s="15" t="s">
        <v>751</v>
      </c>
      <c r="F24" s="49" t="s">
        <v>780</v>
      </c>
    </row>
    <row r="25" spans="1:6" ht="15" customHeight="1" x14ac:dyDescent="0.3">
      <c r="A25" s="28"/>
      <c r="B25" s="49"/>
      <c r="C25" s="17" t="s">
        <v>781</v>
      </c>
      <c r="D25" s="17" t="s">
        <v>383</v>
      </c>
      <c r="E25" s="15" t="s">
        <v>720</v>
      </c>
      <c r="F25" s="49" t="s">
        <v>782</v>
      </c>
    </row>
    <row r="26" spans="1:6" ht="31.2" customHeight="1" x14ac:dyDescent="0.3">
      <c r="A26" s="28"/>
      <c r="B26" s="49"/>
      <c r="C26" s="17" t="s">
        <v>783</v>
      </c>
      <c r="D26" s="17" t="s">
        <v>383</v>
      </c>
      <c r="E26" s="15" t="s">
        <v>720</v>
      </c>
      <c r="F26" s="49" t="s">
        <v>784</v>
      </c>
    </row>
    <row r="27" spans="1:6" ht="15" customHeight="1" x14ac:dyDescent="0.3">
      <c r="A27" s="28"/>
      <c r="B27" s="49"/>
      <c r="C27" s="17" t="s">
        <v>785</v>
      </c>
      <c r="D27" s="17" t="s">
        <v>750</v>
      </c>
      <c r="E27" s="15" t="s">
        <v>751</v>
      </c>
      <c r="F27" s="49" t="s">
        <v>786</v>
      </c>
    </row>
    <row r="28" spans="1:6" ht="46.8" customHeight="1" x14ac:dyDescent="0.3">
      <c r="A28" s="28"/>
      <c r="B28" s="49"/>
      <c r="C28" s="17" t="s">
        <v>787</v>
      </c>
      <c r="D28" s="17" t="s">
        <v>788</v>
      </c>
      <c r="E28" s="15" t="s">
        <v>751</v>
      </c>
      <c r="F28" s="49" t="s">
        <v>789</v>
      </c>
    </row>
    <row r="29" spans="1:6" ht="15" customHeight="1" x14ac:dyDescent="0.3">
      <c r="A29" s="28"/>
      <c r="B29" s="49"/>
      <c r="C29" s="17" t="s">
        <v>790</v>
      </c>
      <c r="D29" s="17" t="s">
        <v>32</v>
      </c>
      <c r="E29" s="15" t="s">
        <v>720</v>
      </c>
      <c r="F29" s="49" t="s">
        <v>791</v>
      </c>
    </row>
    <row r="30" spans="1:6" ht="46.8" customHeight="1" x14ac:dyDescent="0.3">
      <c r="A30" s="31" t="s">
        <v>761</v>
      </c>
      <c r="B30" s="67" t="s">
        <v>792</v>
      </c>
      <c r="C30" s="32" t="s">
        <v>793</v>
      </c>
      <c r="D30" s="32" t="s">
        <v>794</v>
      </c>
      <c r="E30" s="33" t="s">
        <v>720</v>
      </c>
      <c r="F30" s="34" t="s">
        <v>795</v>
      </c>
    </row>
    <row r="31" spans="1:6" ht="62.4" customHeight="1" x14ac:dyDescent="0.3">
      <c r="A31" s="28"/>
      <c r="B31" s="49"/>
      <c r="C31" s="17" t="s">
        <v>796</v>
      </c>
      <c r="D31" s="17" t="s">
        <v>797</v>
      </c>
      <c r="E31" s="15" t="s">
        <v>720</v>
      </c>
      <c r="F31" s="49" t="s">
        <v>798</v>
      </c>
    </row>
    <row r="32" spans="1:6" ht="46.8" customHeight="1" x14ac:dyDescent="0.3">
      <c r="A32" s="28"/>
      <c r="B32" s="49"/>
      <c r="C32" s="17" t="s">
        <v>799</v>
      </c>
      <c r="D32" s="17" t="s">
        <v>800</v>
      </c>
      <c r="E32" s="15" t="s">
        <v>720</v>
      </c>
      <c r="F32" s="49" t="s">
        <v>801</v>
      </c>
    </row>
    <row r="33" spans="1:6" ht="78" customHeight="1" x14ac:dyDescent="0.3">
      <c r="A33" s="28"/>
      <c r="B33" s="49"/>
      <c r="C33" s="17" t="s">
        <v>802</v>
      </c>
      <c r="D33" s="17" t="s">
        <v>383</v>
      </c>
      <c r="E33" s="15" t="s">
        <v>720</v>
      </c>
      <c r="F33" s="49" t="s">
        <v>803</v>
      </c>
    </row>
    <row r="34" spans="1:6" ht="15" customHeight="1" x14ac:dyDescent="0.3">
      <c r="A34" s="31" t="s">
        <v>804</v>
      </c>
      <c r="B34" s="67" t="s">
        <v>805</v>
      </c>
      <c r="C34" s="32" t="s">
        <v>806</v>
      </c>
      <c r="D34" s="32" t="s">
        <v>364</v>
      </c>
      <c r="E34" s="33" t="s">
        <v>720</v>
      </c>
      <c r="F34" s="34" t="s">
        <v>807</v>
      </c>
    </row>
    <row r="35" spans="1:6" ht="15" customHeight="1" x14ac:dyDescent="0.3">
      <c r="A35" s="28"/>
      <c r="B35" s="49"/>
      <c r="C35" s="17" t="s">
        <v>808</v>
      </c>
      <c r="D35" s="17" t="s">
        <v>383</v>
      </c>
      <c r="E35" s="15" t="s">
        <v>720</v>
      </c>
      <c r="F35" s="49" t="s">
        <v>809</v>
      </c>
    </row>
    <row r="36" spans="1:6" ht="31.2" customHeight="1" x14ac:dyDescent="0.3">
      <c r="A36" s="28"/>
      <c r="B36" s="49"/>
      <c r="C36" s="17" t="s">
        <v>810</v>
      </c>
      <c r="D36" s="17" t="s">
        <v>811</v>
      </c>
      <c r="E36" s="15" t="s">
        <v>720</v>
      </c>
      <c r="F36" s="49" t="s">
        <v>812</v>
      </c>
    </row>
    <row r="37" spans="1:6" ht="15" customHeight="1" x14ac:dyDescent="0.3">
      <c r="A37" s="28"/>
      <c r="B37" s="49"/>
      <c r="C37" s="17" t="s">
        <v>813</v>
      </c>
      <c r="D37" s="17" t="s">
        <v>764</v>
      </c>
      <c r="E37" s="15" t="s">
        <v>751</v>
      </c>
      <c r="F37" s="49" t="s">
        <v>814</v>
      </c>
    </row>
    <row r="38" spans="1:6" ht="31.2" customHeight="1" x14ac:dyDescent="0.3">
      <c r="A38" s="28"/>
      <c r="B38" s="49"/>
      <c r="C38" s="17" t="s">
        <v>815</v>
      </c>
      <c r="D38" s="17" t="s">
        <v>364</v>
      </c>
      <c r="E38" s="15" t="s">
        <v>720</v>
      </c>
      <c r="F38" s="49" t="s">
        <v>816</v>
      </c>
    </row>
    <row r="39" spans="1:6" ht="15" customHeight="1" x14ac:dyDescent="0.3">
      <c r="A39" s="28"/>
      <c r="B39" s="49"/>
      <c r="C39" s="17" t="s">
        <v>735</v>
      </c>
      <c r="D39" s="17" t="s">
        <v>32</v>
      </c>
      <c r="E39" s="15" t="s">
        <v>720</v>
      </c>
      <c r="F39" s="49" t="s">
        <v>817</v>
      </c>
    </row>
    <row r="40" spans="1:6" ht="15" customHeight="1" x14ac:dyDescent="0.3">
      <c r="A40" s="31" t="s">
        <v>818</v>
      </c>
      <c r="B40" s="67" t="s">
        <v>819</v>
      </c>
      <c r="C40" s="32" t="s">
        <v>757</v>
      </c>
      <c r="D40" s="32" t="s">
        <v>364</v>
      </c>
      <c r="E40" s="33" t="s">
        <v>720</v>
      </c>
      <c r="F40" s="34" t="s">
        <v>820</v>
      </c>
    </row>
    <row r="41" spans="1:6" ht="31.2" customHeight="1" x14ac:dyDescent="0.3">
      <c r="A41" s="28"/>
      <c r="B41" s="49"/>
      <c r="C41" s="17" t="s">
        <v>821</v>
      </c>
      <c r="D41" s="17" t="s">
        <v>822</v>
      </c>
      <c r="E41" s="15" t="s">
        <v>720</v>
      </c>
      <c r="F41" s="49" t="s">
        <v>823</v>
      </c>
    </row>
    <row r="42" spans="1:6" ht="31.2" customHeight="1" x14ac:dyDescent="0.3">
      <c r="A42" s="28"/>
      <c r="B42" s="49"/>
      <c r="C42" s="17" t="s">
        <v>824</v>
      </c>
      <c r="D42" s="17" t="s">
        <v>825</v>
      </c>
      <c r="E42" s="15" t="s">
        <v>751</v>
      </c>
      <c r="F42" s="49" t="s">
        <v>826</v>
      </c>
    </row>
    <row r="43" spans="1:6" ht="46.8" customHeight="1" x14ac:dyDescent="0.3">
      <c r="A43" s="28"/>
      <c r="B43" s="49"/>
      <c r="C43" s="17" t="s">
        <v>827</v>
      </c>
      <c r="D43" s="17" t="s">
        <v>777</v>
      </c>
      <c r="E43" s="15" t="s">
        <v>751</v>
      </c>
      <c r="F43" s="49" t="s">
        <v>828</v>
      </c>
    </row>
    <row r="44" spans="1:6" ht="15" customHeight="1" x14ac:dyDescent="0.3">
      <c r="A44" s="28"/>
      <c r="B44" s="49"/>
      <c r="C44" s="17" t="s">
        <v>829</v>
      </c>
      <c r="D44" s="17" t="s">
        <v>830</v>
      </c>
      <c r="E44" s="15" t="s">
        <v>720</v>
      </c>
      <c r="F44" s="49" t="s">
        <v>831</v>
      </c>
    </row>
    <row r="45" spans="1:6" ht="15" customHeight="1" x14ac:dyDescent="0.3">
      <c r="A45" s="28"/>
      <c r="B45" s="49"/>
      <c r="C45" s="17" t="s">
        <v>735</v>
      </c>
      <c r="D45" s="17" t="s">
        <v>32</v>
      </c>
      <c r="E45" s="15" t="s">
        <v>720</v>
      </c>
      <c r="F45" s="49" t="s">
        <v>832</v>
      </c>
    </row>
    <row r="46" spans="1:6" ht="15" customHeight="1" x14ac:dyDescent="0.3">
      <c r="A46" s="28"/>
      <c r="B46" s="49"/>
      <c r="C46" s="17" t="s">
        <v>833</v>
      </c>
      <c r="D46" s="17" t="s">
        <v>750</v>
      </c>
      <c r="E46" s="15" t="s">
        <v>751</v>
      </c>
      <c r="F46" s="49" t="s">
        <v>834</v>
      </c>
    </row>
    <row r="47" spans="1:6" ht="15" customHeight="1" x14ac:dyDescent="0.3">
      <c r="A47" s="31" t="s">
        <v>359</v>
      </c>
      <c r="B47" s="67" t="s">
        <v>358</v>
      </c>
      <c r="C47" s="32" t="s">
        <v>835</v>
      </c>
      <c r="D47" s="32" t="s">
        <v>364</v>
      </c>
      <c r="E47" s="33" t="s">
        <v>720</v>
      </c>
      <c r="F47" s="34" t="s">
        <v>836</v>
      </c>
    </row>
    <row r="48" spans="1:6" ht="31.2" customHeight="1" x14ac:dyDescent="0.3">
      <c r="A48" s="28"/>
      <c r="B48" s="49"/>
      <c r="C48" s="17" t="s">
        <v>837</v>
      </c>
      <c r="D48" s="17" t="s">
        <v>448</v>
      </c>
      <c r="E48" s="15" t="s">
        <v>720</v>
      </c>
      <c r="F48" s="49" t="s">
        <v>838</v>
      </c>
    </row>
    <row r="49" spans="1:6" ht="31.2" customHeight="1" x14ac:dyDescent="0.3">
      <c r="A49" s="28"/>
      <c r="B49" s="49"/>
      <c r="C49" s="17" t="s">
        <v>839</v>
      </c>
      <c r="D49" s="17" t="s">
        <v>840</v>
      </c>
      <c r="E49" s="15" t="s">
        <v>751</v>
      </c>
      <c r="F49" s="49" t="s">
        <v>841</v>
      </c>
    </row>
    <row r="50" spans="1:6" ht="15" customHeight="1" x14ac:dyDescent="0.3">
      <c r="A50" s="28"/>
      <c r="B50" s="49"/>
      <c r="C50" s="17" t="s">
        <v>605</v>
      </c>
      <c r="D50" s="17" t="s">
        <v>607</v>
      </c>
      <c r="E50" s="15" t="s">
        <v>751</v>
      </c>
      <c r="F50" s="49" t="s">
        <v>842</v>
      </c>
    </row>
    <row r="51" spans="1:6" ht="15" customHeight="1" x14ac:dyDescent="0.3">
      <c r="A51" s="28"/>
      <c r="B51" s="49"/>
      <c r="C51" s="17" t="s">
        <v>843</v>
      </c>
      <c r="D51" s="17" t="s">
        <v>844</v>
      </c>
      <c r="E51" s="15" t="s">
        <v>720</v>
      </c>
      <c r="F51" s="49" t="s">
        <v>845</v>
      </c>
    </row>
    <row r="52" spans="1:6" ht="31.2" customHeight="1" x14ac:dyDescent="0.3">
      <c r="A52" s="28"/>
      <c r="B52" s="49"/>
      <c r="C52" s="17" t="s">
        <v>846</v>
      </c>
      <c r="D52" s="17" t="s">
        <v>383</v>
      </c>
      <c r="E52" s="15" t="s">
        <v>720</v>
      </c>
      <c r="F52" s="49" t="s">
        <v>847</v>
      </c>
    </row>
    <row r="53" spans="1:6" ht="31.2" customHeight="1" x14ac:dyDescent="0.3">
      <c r="A53" s="28"/>
      <c r="B53" s="49"/>
      <c r="C53" s="17" t="s">
        <v>848</v>
      </c>
      <c r="D53" s="17" t="s">
        <v>448</v>
      </c>
      <c r="E53" s="15" t="s">
        <v>720</v>
      </c>
      <c r="F53" s="49" t="s">
        <v>849</v>
      </c>
    </row>
    <row r="54" spans="1:6" ht="31.2" customHeight="1" x14ac:dyDescent="0.3">
      <c r="A54" s="28"/>
      <c r="B54" s="49"/>
      <c r="C54" s="17" t="s">
        <v>850</v>
      </c>
      <c r="D54" s="17" t="s">
        <v>364</v>
      </c>
      <c r="E54" s="15" t="s">
        <v>720</v>
      </c>
      <c r="F54" s="49" t="s">
        <v>851</v>
      </c>
    </row>
    <row r="55" spans="1:6" ht="15" customHeight="1" x14ac:dyDescent="0.3">
      <c r="A55" s="28"/>
      <c r="B55" s="49"/>
      <c r="C55" s="17" t="s">
        <v>852</v>
      </c>
      <c r="D55" s="17" t="s">
        <v>364</v>
      </c>
      <c r="E55" s="15" t="s">
        <v>720</v>
      </c>
      <c r="F55" s="49" t="s">
        <v>853</v>
      </c>
    </row>
    <row r="56" spans="1:6" ht="31.2" customHeight="1" x14ac:dyDescent="0.3">
      <c r="A56" s="28"/>
      <c r="B56" s="49"/>
      <c r="C56" s="17" t="s">
        <v>854</v>
      </c>
      <c r="D56" s="17" t="s">
        <v>30</v>
      </c>
      <c r="E56" s="15" t="s">
        <v>720</v>
      </c>
      <c r="F56" s="49" t="s">
        <v>855</v>
      </c>
    </row>
    <row r="57" spans="1:6" ht="15" customHeight="1" x14ac:dyDescent="0.3">
      <c r="A57" s="28"/>
      <c r="B57" s="49"/>
      <c r="C57" s="17" t="s">
        <v>856</v>
      </c>
      <c r="D57" s="17" t="s">
        <v>364</v>
      </c>
      <c r="E57" s="15" t="s">
        <v>720</v>
      </c>
      <c r="F57" s="49" t="s">
        <v>857</v>
      </c>
    </row>
    <row r="58" spans="1:6" ht="31.2" customHeight="1" x14ac:dyDescent="0.3">
      <c r="A58" s="28"/>
      <c r="B58" s="49"/>
      <c r="C58" s="17" t="s">
        <v>858</v>
      </c>
      <c r="D58" s="17" t="s">
        <v>859</v>
      </c>
      <c r="E58" s="15" t="s">
        <v>751</v>
      </c>
      <c r="F58" s="49" t="s">
        <v>860</v>
      </c>
    </row>
    <row r="59" spans="1:6" ht="31.2" customHeight="1" x14ac:dyDescent="0.3">
      <c r="A59" s="28"/>
      <c r="B59" s="49"/>
      <c r="C59" s="17" t="s">
        <v>861</v>
      </c>
      <c r="D59" s="17" t="s">
        <v>364</v>
      </c>
      <c r="E59" s="15" t="s">
        <v>720</v>
      </c>
      <c r="F59" s="49" t="s">
        <v>862</v>
      </c>
    </row>
    <row r="60" spans="1:6" ht="31.2" customHeight="1" x14ac:dyDescent="0.3">
      <c r="A60" s="28"/>
      <c r="B60" s="49"/>
      <c r="C60" s="17" t="s">
        <v>863</v>
      </c>
      <c r="D60" s="17" t="s">
        <v>364</v>
      </c>
      <c r="E60" s="15" t="s">
        <v>720</v>
      </c>
      <c r="F60" s="49" t="s">
        <v>864</v>
      </c>
    </row>
    <row r="61" spans="1:6" ht="31.2" customHeight="1" x14ac:dyDescent="0.3">
      <c r="A61" s="28"/>
      <c r="B61" s="49"/>
      <c r="C61" s="17" t="s">
        <v>865</v>
      </c>
      <c r="D61" s="17" t="s">
        <v>364</v>
      </c>
      <c r="E61" s="15" t="s">
        <v>720</v>
      </c>
      <c r="F61" s="49" t="s">
        <v>866</v>
      </c>
    </row>
    <row r="62" spans="1:6" ht="15" customHeight="1" x14ac:dyDescent="0.3">
      <c r="A62" s="28"/>
      <c r="B62" s="49"/>
      <c r="C62" s="17" t="s">
        <v>867</v>
      </c>
      <c r="D62" s="17" t="s">
        <v>868</v>
      </c>
      <c r="E62" s="15" t="s">
        <v>751</v>
      </c>
      <c r="F62" s="49" t="s">
        <v>869</v>
      </c>
    </row>
    <row r="63" spans="1:6" ht="31.2" customHeight="1" x14ac:dyDescent="0.3">
      <c r="A63" s="28"/>
      <c r="B63" s="49"/>
      <c r="C63" s="17" t="s">
        <v>870</v>
      </c>
      <c r="D63" s="17" t="s">
        <v>764</v>
      </c>
      <c r="E63" s="15" t="s">
        <v>751</v>
      </c>
      <c r="F63" s="49" t="s">
        <v>871</v>
      </c>
    </row>
    <row r="64" spans="1:6" ht="15" customHeight="1" x14ac:dyDescent="0.3">
      <c r="A64" s="28"/>
      <c r="B64" s="49"/>
      <c r="C64" s="17" t="s">
        <v>872</v>
      </c>
      <c r="D64" s="17" t="s">
        <v>764</v>
      </c>
      <c r="E64" s="15" t="s">
        <v>751</v>
      </c>
      <c r="F64" s="49" t="s">
        <v>873</v>
      </c>
    </row>
    <row r="65" spans="1:6" ht="15" customHeight="1" x14ac:dyDescent="0.3">
      <c r="A65" s="28"/>
      <c r="B65" s="49"/>
      <c r="C65" s="17" t="s">
        <v>874</v>
      </c>
      <c r="D65" s="17" t="s">
        <v>777</v>
      </c>
      <c r="E65" s="15" t="s">
        <v>751</v>
      </c>
      <c r="F65" s="49" t="s">
        <v>875</v>
      </c>
    </row>
    <row r="66" spans="1:6" ht="15" customHeight="1" x14ac:dyDescent="0.3">
      <c r="A66" s="31" t="s">
        <v>350</v>
      </c>
      <c r="B66" s="67" t="s">
        <v>349</v>
      </c>
      <c r="C66" s="32" t="s">
        <v>876</v>
      </c>
      <c r="D66" s="32" t="s">
        <v>364</v>
      </c>
      <c r="E66" s="33" t="s">
        <v>720</v>
      </c>
      <c r="F66" s="34"/>
    </row>
    <row r="67" spans="1:6" ht="15" customHeight="1" x14ac:dyDescent="0.3">
      <c r="A67" s="28"/>
      <c r="B67" s="49"/>
      <c r="C67" s="17" t="s">
        <v>877</v>
      </c>
      <c r="D67" s="17" t="s">
        <v>364</v>
      </c>
      <c r="E67" s="15" t="s">
        <v>720</v>
      </c>
      <c r="F67" s="49"/>
    </row>
    <row r="68" spans="1:6" ht="15" customHeight="1" x14ac:dyDescent="0.3">
      <c r="A68" s="28"/>
      <c r="B68" s="49"/>
      <c r="C68" s="17" t="s">
        <v>878</v>
      </c>
      <c r="D68" s="17" t="s">
        <v>364</v>
      </c>
      <c r="E68" s="15" t="s">
        <v>720</v>
      </c>
      <c r="F68" s="49"/>
    </row>
    <row r="69" spans="1:6" ht="15" customHeight="1" x14ac:dyDescent="0.3">
      <c r="A69" s="28"/>
      <c r="B69" s="49"/>
      <c r="C69" s="17" t="s">
        <v>879</v>
      </c>
      <c r="D69" s="17" t="s">
        <v>448</v>
      </c>
      <c r="E69" s="15" t="s">
        <v>720</v>
      </c>
      <c r="F69" s="49" t="s">
        <v>880</v>
      </c>
    </row>
    <row r="70" spans="1:6" ht="15" customHeight="1" x14ac:dyDescent="0.3">
      <c r="A70" s="28"/>
      <c r="B70" s="49"/>
      <c r="C70" s="17" t="s">
        <v>352</v>
      </c>
      <c r="D70" s="17" t="s">
        <v>354</v>
      </c>
      <c r="E70" s="15" t="s">
        <v>720</v>
      </c>
      <c r="F70" s="49" t="s">
        <v>881</v>
      </c>
    </row>
    <row r="71" spans="1:6" ht="15" customHeight="1" x14ac:dyDescent="0.3">
      <c r="A71" s="28"/>
      <c r="B71" s="49"/>
      <c r="C71" s="17" t="s">
        <v>882</v>
      </c>
      <c r="D71" s="17" t="s">
        <v>448</v>
      </c>
      <c r="E71" s="15" t="s">
        <v>720</v>
      </c>
      <c r="F71" s="49" t="s">
        <v>883</v>
      </c>
    </row>
    <row r="72" spans="1:6" ht="46.8" customHeight="1" x14ac:dyDescent="0.3">
      <c r="A72" s="31" t="s">
        <v>337</v>
      </c>
      <c r="B72" s="67" t="s">
        <v>884</v>
      </c>
      <c r="C72" s="32" t="s">
        <v>885</v>
      </c>
      <c r="D72" s="32" t="s">
        <v>364</v>
      </c>
      <c r="E72" s="33" t="s">
        <v>720</v>
      </c>
      <c r="F72" s="34" t="s">
        <v>886</v>
      </c>
    </row>
    <row r="73" spans="1:6" ht="31.2" customHeight="1" x14ac:dyDescent="0.3">
      <c r="A73" s="28"/>
      <c r="B73" s="49"/>
      <c r="C73" s="17" t="s">
        <v>843</v>
      </c>
      <c r="D73" s="17" t="s">
        <v>844</v>
      </c>
      <c r="E73" s="15" t="s">
        <v>720</v>
      </c>
      <c r="F73" s="49" t="s">
        <v>887</v>
      </c>
    </row>
    <row r="74" spans="1:6" ht="15" customHeight="1" x14ac:dyDescent="0.3">
      <c r="A74" s="28"/>
      <c r="B74" s="49"/>
      <c r="C74" s="17" t="s">
        <v>835</v>
      </c>
      <c r="D74" s="17" t="s">
        <v>364</v>
      </c>
      <c r="E74" s="15" t="s">
        <v>720</v>
      </c>
      <c r="F74" s="49" t="s">
        <v>888</v>
      </c>
    </row>
    <row r="75" spans="1:6" ht="15" customHeight="1" x14ac:dyDescent="0.3">
      <c r="A75" s="28"/>
      <c r="B75" s="49"/>
      <c r="C75" s="17" t="s">
        <v>837</v>
      </c>
      <c r="D75" s="17" t="s">
        <v>448</v>
      </c>
      <c r="E75" s="15" t="s">
        <v>720</v>
      </c>
      <c r="F75" s="49" t="s">
        <v>889</v>
      </c>
    </row>
    <row r="76" spans="1:6" ht="31.2" customHeight="1" x14ac:dyDescent="0.3">
      <c r="A76" s="28"/>
      <c r="B76" s="49"/>
      <c r="C76" s="17" t="s">
        <v>839</v>
      </c>
      <c r="D76" s="17" t="s">
        <v>840</v>
      </c>
      <c r="E76" s="15" t="s">
        <v>751</v>
      </c>
      <c r="F76" s="49" t="s">
        <v>890</v>
      </c>
    </row>
    <row r="77" spans="1:6" ht="15" customHeight="1" x14ac:dyDescent="0.3">
      <c r="A77" s="28"/>
      <c r="B77" s="49"/>
      <c r="C77" s="17" t="s">
        <v>846</v>
      </c>
      <c r="D77" s="17" t="s">
        <v>383</v>
      </c>
      <c r="E77" s="15" t="s">
        <v>720</v>
      </c>
      <c r="F77" s="49" t="s">
        <v>891</v>
      </c>
    </row>
    <row r="78" spans="1:6" ht="31.2" customHeight="1" x14ac:dyDescent="0.3">
      <c r="A78" s="28"/>
      <c r="B78" s="49"/>
      <c r="C78" s="17" t="s">
        <v>892</v>
      </c>
      <c r="D78" s="17" t="s">
        <v>364</v>
      </c>
      <c r="E78" s="15" t="s">
        <v>720</v>
      </c>
      <c r="F78" s="49" t="s">
        <v>893</v>
      </c>
    </row>
    <row r="79" spans="1:6" ht="15" customHeight="1" x14ac:dyDescent="0.3">
      <c r="A79" s="28"/>
      <c r="B79" s="49"/>
      <c r="C79" s="17" t="s">
        <v>848</v>
      </c>
      <c r="D79" s="17" t="s">
        <v>448</v>
      </c>
      <c r="E79" s="15" t="s">
        <v>720</v>
      </c>
      <c r="F79" s="49" t="s">
        <v>894</v>
      </c>
    </row>
    <row r="80" spans="1:6" ht="15" customHeight="1" x14ac:dyDescent="0.3">
      <c r="A80" s="28"/>
      <c r="B80" s="49"/>
      <c r="C80" s="17" t="s">
        <v>854</v>
      </c>
      <c r="D80" s="17" t="s">
        <v>30</v>
      </c>
      <c r="E80" s="15" t="s">
        <v>720</v>
      </c>
      <c r="F80" s="49" t="s">
        <v>895</v>
      </c>
    </row>
    <row r="81" spans="1:6" ht="15" customHeight="1" x14ac:dyDescent="0.3">
      <c r="A81" s="28"/>
      <c r="B81" s="49"/>
      <c r="C81" s="17" t="s">
        <v>856</v>
      </c>
      <c r="D81" s="17" t="s">
        <v>364</v>
      </c>
      <c r="E81" s="15" t="s">
        <v>720</v>
      </c>
      <c r="F81" s="49" t="s">
        <v>896</v>
      </c>
    </row>
    <row r="82" spans="1:6" ht="15" customHeight="1" x14ac:dyDescent="0.3">
      <c r="A82" s="28"/>
      <c r="B82" s="49"/>
      <c r="C82" s="17" t="s">
        <v>850</v>
      </c>
      <c r="D82" s="17" t="s">
        <v>364</v>
      </c>
      <c r="E82" s="15" t="s">
        <v>720</v>
      </c>
      <c r="F82" s="49" t="s">
        <v>897</v>
      </c>
    </row>
    <row r="83" spans="1:6" ht="15" customHeight="1" x14ac:dyDescent="0.3">
      <c r="A83" s="28"/>
      <c r="B83" s="49"/>
      <c r="C83" s="17" t="s">
        <v>852</v>
      </c>
      <c r="D83" s="17" t="s">
        <v>364</v>
      </c>
      <c r="E83" s="15" t="s">
        <v>720</v>
      </c>
      <c r="F83" s="49" t="s">
        <v>898</v>
      </c>
    </row>
    <row r="84" spans="1:6" ht="31.2" customHeight="1" x14ac:dyDescent="0.3">
      <c r="A84" s="28"/>
      <c r="B84" s="49"/>
      <c r="C84" s="17" t="s">
        <v>858</v>
      </c>
      <c r="D84" s="17" t="s">
        <v>859</v>
      </c>
      <c r="E84" s="15" t="s">
        <v>751</v>
      </c>
      <c r="F84" s="49" t="s">
        <v>899</v>
      </c>
    </row>
    <row r="85" spans="1:6" ht="15" customHeight="1" x14ac:dyDescent="0.3">
      <c r="A85" s="28"/>
      <c r="B85" s="49"/>
      <c r="C85" s="17" t="s">
        <v>861</v>
      </c>
      <c r="D85" s="17" t="s">
        <v>364</v>
      </c>
      <c r="E85" s="15" t="s">
        <v>720</v>
      </c>
      <c r="F85" s="49" t="s">
        <v>900</v>
      </c>
    </row>
    <row r="86" spans="1:6" ht="15" customHeight="1" x14ac:dyDescent="0.3">
      <c r="A86" s="28"/>
      <c r="B86" s="49"/>
      <c r="C86" s="17" t="s">
        <v>863</v>
      </c>
      <c r="D86" s="17" t="s">
        <v>364</v>
      </c>
      <c r="E86" s="15" t="s">
        <v>720</v>
      </c>
      <c r="F86" s="49" t="s">
        <v>901</v>
      </c>
    </row>
    <row r="87" spans="1:6" ht="31.2" customHeight="1" x14ac:dyDescent="0.3">
      <c r="A87" s="28"/>
      <c r="B87" s="49"/>
      <c r="C87" s="17" t="s">
        <v>865</v>
      </c>
      <c r="D87" s="17" t="s">
        <v>364</v>
      </c>
      <c r="E87" s="15" t="s">
        <v>720</v>
      </c>
      <c r="F87" s="49" t="s">
        <v>902</v>
      </c>
    </row>
    <row r="88" spans="1:6" ht="15" customHeight="1" x14ac:dyDescent="0.3">
      <c r="A88" s="28"/>
      <c r="B88" s="49"/>
      <c r="C88" s="17" t="s">
        <v>867</v>
      </c>
      <c r="D88" s="17" t="s">
        <v>868</v>
      </c>
      <c r="E88" s="15" t="s">
        <v>751</v>
      </c>
      <c r="F88" s="49" t="s">
        <v>903</v>
      </c>
    </row>
    <row r="89" spans="1:6" ht="31.2" customHeight="1" x14ac:dyDescent="0.3">
      <c r="A89" s="28"/>
      <c r="B89" s="49"/>
      <c r="C89" s="17" t="s">
        <v>870</v>
      </c>
      <c r="D89" s="17" t="s">
        <v>764</v>
      </c>
      <c r="E89" s="15" t="s">
        <v>751</v>
      </c>
      <c r="F89" s="49" t="s">
        <v>904</v>
      </c>
    </row>
    <row r="90" spans="1:6" ht="15" customHeight="1" x14ac:dyDescent="0.3">
      <c r="A90" s="28"/>
      <c r="B90" s="49"/>
      <c r="C90" s="17" t="s">
        <v>872</v>
      </c>
      <c r="D90" s="17" t="s">
        <v>764</v>
      </c>
      <c r="E90" s="15" t="s">
        <v>751</v>
      </c>
      <c r="F90" s="49" t="s">
        <v>905</v>
      </c>
    </row>
    <row r="91" spans="1:6" ht="15" customHeight="1" x14ac:dyDescent="0.3">
      <c r="A91" s="28"/>
      <c r="B91" s="49"/>
      <c r="C91" s="17" t="s">
        <v>874</v>
      </c>
      <c r="D91" s="17" t="s">
        <v>777</v>
      </c>
      <c r="E91" s="15" t="s">
        <v>751</v>
      </c>
      <c r="F91" s="49" t="s">
        <v>906</v>
      </c>
    </row>
    <row r="92" spans="1:6" ht="15" customHeight="1" x14ac:dyDescent="0.3">
      <c r="A92" s="28"/>
      <c r="B92" s="49"/>
      <c r="C92" s="17" t="s">
        <v>907</v>
      </c>
      <c r="D92" s="17" t="s">
        <v>908</v>
      </c>
      <c r="E92" s="15" t="s">
        <v>751</v>
      </c>
      <c r="F92" s="49" t="s">
        <v>909</v>
      </c>
    </row>
    <row r="93" spans="1:6" ht="15" customHeight="1" x14ac:dyDescent="0.3">
      <c r="A93" s="31" t="s">
        <v>910</v>
      </c>
      <c r="B93" s="67" t="s">
        <v>911</v>
      </c>
      <c r="C93" s="32" t="s">
        <v>912</v>
      </c>
      <c r="D93" s="32" t="s">
        <v>364</v>
      </c>
      <c r="E93" s="33" t="s">
        <v>720</v>
      </c>
      <c r="F93" s="34" t="s">
        <v>913</v>
      </c>
    </row>
    <row r="94" spans="1:6" ht="15" customHeight="1" x14ac:dyDescent="0.3">
      <c r="A94" s="28"/>
      <c r="B94" s="49"/>
      <c r="C94" s="17" t="s">
        <v>914</v>
      </c>
      <c r="D94" s="17" t="s">
        <v>915</v>
      </c>
      <c r="E94" s="15" t="s">
        <v>720</v>
      </c>
      <c r="F94" s="49" t="s">
        <v>916</v>
      </c>
    </row>
    <row r="95" spans="1:6" ht="15" customHeight="1" x14ac:dyDescent="0.3">
      <c r="A95" s="28"/>
      <c r="B95" s="49"/>
      <c r="C95" s="17" t="s">
        <v>917</v>
      </c>
      <c r="D95" s="17" t="s">
        <v>32</v>
      </c>
      <c r="E95" s="15" t="s">
        <v>720</v>
      </c>
      <c r="F95" s="49" t="s">
        <v>918</v>
      </c>
    </row>
    <row r="96" spans="1:6" ht="15" customHeight="1" x14ac:dyDescent="0.3">
      <c r="A96" s="31" t="s">
        <v>919</v>
      </c>
      <c r="B96" s="67" t="s">
        <v>342</v>
      </c>
      <c r="C96" s="32" t="s">
        <v>920</v>
      </c>
      <c r="D96" s="32" t="s">
        <v>364</v>
      </c>
      <c r="E96" s="33" t="s">
        <v>720</v>
      </c>
      <c r="F96" s="34" t="s">
        <v>921</v>
      </c>
    </row>
    <row r="97" spans="1:6" ht="15" customHeight="1" x14ac:dyDescent="0.3">
      <c r="A97" s="28"/>
      <c r="B97" s="49"/>
      <c r="C97" s="17" t="s">
        <v>912</v>
      </c>
      <c r="D97" s="17" t="s">
        <v>364</v>
      </c>
      <c r="E97" s="15" t="s">
        <v>720</v>
      </c>
      <c r="F97" s="49" t="s">
        <v>922</v>
      </c>
    </row>
    <row r="98" spans="1:6" ht="15" customHeight="1" x14ac:dyDescent="0.3">
      <c r="A98" s="28"/>
      <c r="B98" s="49"/>
      <c r="C98" s="17" t="s">
        <v>914</v>
      </c>
      <c r="D98" s="17" t="s">
        <v>915</v>
      </c>
      <c r="E98" s="15" t="s">
        <v>720</v>
      </c>
      <c r="F98" s="49" t="s">
        <v>923</v>
      </c>
    </row>
    <row r="99" spans="1:6" ht="15" customHeight="1" x14ac:dyDescent="0.3">
      <c r="A99" s="28"/>
      <c r="B99" s="49"/>
      <c r="C99" s="17" t="s">
        <v>924</v>
      </c>
      <c r="D99" s="17" t="s">
        <v>364</v>
      </c>
      <c r="E99" s="15" t="s">
        <v>720</v>
      </c>
      <c r="F99" s="49" t="s">
        <v>925</v>
      </c>
    </row>
    <row r="100" spans="1:6" ht="31.2" customHeight="1" x14ac:dyDescent="0.3">
      <c r="A100" s="28"/>
      <c r="B100" s="49"/>
      <c r="C100" s="17" t="s">
        <v>926</v>
      </c>
      <c r="D100" s="17" t="s">
        <v>927</v>
      </c>
      <c r="E100" s="15" t="s">
        <v>720</v>
      </c>
      <c r="F100" s="49" t="s">
        <v>928</v>
      </c>
    </row>
    <row r="101" spans="1:6" ht="46.8" customHeight="1" x14ac:dyDescent="0.3">
      <c r="A101" s="28"/>
      <c r="B101" s="49"/>
      <c r="C101" s="17" t="s">
        <v>929</v>
      </c>
      <c r="D101" s="17" t="s">
        <v>32</v>
      </c>
      <c r="E101" s="15" t="s">
        <v>720</v>
      </c>
      <c r="F101" s="49" t="s">
        <v>930</v>
      </c>
    </row>
    <row r="102" spans="1:6" ht="15" customHeight="1" x14ac:dyDescent="0.3">
      <c r="A102" s="31" t="s">
        <v>931</v>
      </c>
      <c r="B102" s="67" t="s">
        <v>373</v>
      </c>
      <c r="C102" s="32" t="s">
        <v>932</v>
      </c>
      <c r="D102" s="32" t="s">
        <v>448</v>
      </c>
      <c r="E102" s="33" t="s">
        <v>720</v>
      </c>
      <c r="F102" s="34" t="s">
        <v>933</v>
      </c>
    </row>
    <row r="103" spans="1:6" ht="15" customHeight="1" x14ac:dyDescent="0.3">
      <c r="A103" s="28"/>
      <c r="B103" s="49"/>
      <c r="C103" s="17" t="s">
        <v>934</v>
      </c>
      <c r="D103" s="17" t="s">
        <v>935</v>
      </c>
      <c r="E103" s="15" t="s">
        <v>720</v>
      </c>
      <c r="F103" s="49" t="s">
        <v>936</v>
      </c>
    </row>
    <row r="104" spans="1:6" ht="15" customHeight="1" x14ac:dyDescent="0.3">
      <c r="A104" s="28"/>
      <c r="B104" s="49"/>
      <c r="C104" s="17" t="s">
        <v>937</v>
      </c>
      <c r="D104" s="17" t="s">
        <v>462</v>
      </c>
      <c r="E104" s="15" t="s">
        <v>720</v>
      </c>
      <c r="F104" s="49" t="s">
        <v>938</v>
      </c>
    </row>
    <row r="105" spans="1:6" ht="31.2" customHeight="1" x14ac:dyDescent="0.3">
      <c r="A105" s="28"/>
      <c r="B105" s="49"/>
      <c r="C105" s="17" t="s">
        <v>939</v>
      </c>
      <c r="D105" s="17" t="s">
        <v>364</v>
      </c>
      <c r="E105" s="15" t="s">
        <v>720</v>
      </c>
      <c r="F105" s="49" t="s">
        <v>940</v>
      </c>
    </row>
    <row r="106" spans="1:6" ht="15" customHeight="1" x14ac:dyDescent="0.3">
      <c r="A106" s="31" t="s">
        <v>941</v>
      </c>
      <c r="B106" s="67" t="s">
        <v>942</v>
      </c>
      <c r="C106" s="32" t="s">
        <v>920</v>
      </c>
      <c r="D106" s="32" t="s">
        <v>364</v>
      </c>
      <c r="E106" s="33" t="s">
        <v>720</v>
      </c>
      <c r="F106" s="34" t="s">
        <v>943</v>
      </c>
    </row>
    <row r="107" spans="1:6" ht="15" customHeight="1" x14ac:dyDescent="0.3">
      <c r="A107" s="28"/>
      <c r="B107" s="49"/>
      <c r="C107" s="17" t="s">
        <v>944</v>
      </c>
      <c r="D107" s="17" t="s">
        <v>364</v>
      </c>
      <c r="E107" s="15" t="s">
        <v>720</v>
      </c>
      <c r="F107" s="49" t="s">
        <v>945</v>
      </c>
    </row>
    <row r="108" spans="1:6" ht="15" customHeight="1" x14ac:dyDescent="0.3">
      <c r="A108" s="28"/>
      <c r="B108" s="49"/>
      <c r="C108" s="17" t="s">
        <v>946</v>
      </c>
      <c r="D108" s="17" t="s">
        <v>364</v>
      </c>
      <c r="E108" s="15" t="s">
        <v>720</v>
      </c>
      <c r="F108" s="49" t="s">
        <v>947</v>
      </c>
    </row>
    <row r="109" spans="1:6" ht="15" customHeight="1" x14ac:dyDescent="0.3">
      <c r="A109" s="31" t="s">
        <v>413</v>
      </c>
      <c r="B109" s="67" t="s">
        <v>948</v>
      </c>
      <c r="C109" s="32" t="s">
        <v>763</v>
      </c>
      <c r="D109" s="32" t="s">
        <v>364</v>
      </c>
      <c r="E109" s="33" t="s">
        <v>720</v>
      </c>
      <c r="F109" s="34" t="s">
        <v>949</v>
      </c>
    </row>
    <row r="110" spans="1:6" ht="15" customHeight="1" x14ac:dyDescent="0.3">
      <c r="A110" s="28"/>
      <c r="B110" s="49"/>
      <c r="C110" s="17" t="s">
        <v>950</v>
      </c>
      <c r="D110" s="17" t="s">
        <v>364</v>
      </c>
      <c r="E110" s="15" t="s">
        <v>720</v>
      </c>
      <c r="F110" s="49" t="s">
        <v>951</v>
      </c>
    </row>
    <row r="111" spans="1:6" ht="15" customHeight="1" x14ac:dyDescent="0.3">
      <c r="A111" s="28"/>
      <c r="B111" s="49"/>
      <c r="C111" s="17" t="s">
        <v>952</v>
      </c>
      <c r="D111" s="17" t="s">
        <v>364</v>
      </c>
      <c r="E111" s="15" t="s">
        <v>720</v>
      </c>
      <c r="F111" s="49" t="s">
        <v>951</v>
      </c>
    </row>
    <row r="112" spans="1:6" ht="15" customHeight="1" x14ac:dyDescent="0.3">
      <c r="A112" s="28"/>
      <c r="B112" s="49"/>
      <c r="C112" s="17" t="s">
        <v>953</v>
      </c>
      <c r="D112" s="17" t="s">
        <v>954</v>
      </c>
      <c r="E112" s="15" t="s">
        <v>720</v>
      </c>
      <c r="F112" s="49" t="s">
        <v>955</v>
      </c>
    </row>
    <row r="113" spans="1:6" ht="15" customHeight="1" x14ac:dyDescent="0.3">
      <c r="A113" s="28"/>
      <c r="B113" s="49"/>
      <c r="C113" s="17" t="s">
        <v>956</v>
      </c>
      <c r="D113" s="17" t="s">
        <v>30</v>
      </c>
      <c r="E113" s="15" t="s">
        <v>720</v>
      </c>
      <c r="F113" s="49" t="s">
        <v>957</v>
      </c>
    </row>
    <row r="114" spans="1:6" ht="15" customHeight="1" x14ac:dyDescent="0.3">
      <c r="A114" s="28"/>
      <c r="B114" s="49"/>
      <c r="C114" s="17" t="s">
        <v>958</v>
      </c>
      <c r="D114" s="17" t="s">
        <v>959</v>
      </c>
      <c r="E114" s="15" t="s">
        <v>720</v>
      </c>
      <c r="F114" s="49" t="s">
        <v>960</v>
      </c>
    </row>
    <row r="115" spans="1:6" ht="15" customHeight="1" x14ac:dyDescent="0.3">
      <c r="A115" s="28"/>
      <c r="B115" s="49"/>
      <c r="C115" s="17" t="s">
        <v>597</v>
      </c>
      <c r="D115" s="17" t="s">
        <v>599</v>
      </c>
      <c r="E115" s="15" t="s">
        <v>720</v>
      </c>
      <c r="F115" s="49" t="s">
        <v>961</v>
      </c>
    </row>
    <row r="116" spans="1:6" ht="15" customHeight="1" x14ac:dyDescent="0.3">
      <c r="A116" s="28"/>
      <c r="B116" s="49"/>
      <c r="C116" s="17" t="s">
        <v>601</v>
      </c>
      <c r="D116" s="17" t="s">
        <v>403</v>
      </c>
      <c r="E116" s="15" t="s">
        <v>720</v>
      </c>
      <c r="F116" s="49" t="s">
        <v>962</v>
      </c>
    </row>
    <row r="117" spans="1:6" ht="15" customHeight="1" x14ac:dyDescent="0.3">
      <c r="A117" s="28"/>
      <c r="B117" s="49"/>
      <c r="C117" s="17" t="s">
        <v>963</v>
      </c>
      <c r="D117" s="17" t="s">
        <v>383</v>
      </c>
      <c r="E117" s="15" t="s">
        <v>720</v>
      </c>
      <c r="F117" s="49" t="s">
        <v>964</v>
      </c>
    </row>
    <row r="118" spans="1:6" ht="46.8" customHeight="1" x14ac:dyDescent="0.3">
      <c r="A118" s="28"/>
      <c r="B118" s="49"/>
      <c r="C118" s="17" t="s">
        <v>965</v>
      </c>
      <c r="D118" s="17" t="s">
        <v>364</v>
      </c>
      <c r="E118" s="15" t="s">
        <v>720</v>
      </c>
      <c r="F118" s="49" t="s">
        <v>966</v>
      </c>
    </row>
    <row r="119" spans="1:6" ht="46.8" customHeight="1" x14ac:dyDescent="0.3">
      <c r="A119" s="28"/>
      <c r="B119" s="49"/>
      <c r="C119" s="17" t="s">
        <v>464</v>
      </c>
      <c r="D119" s="17" t="s">
        <v>466</v>
      </c>
      <c r="E119" s="15" t="s">
        <v>720</v>
      </c>
      <c r="F119" s="49" t="s">
        <v>967</v>
      </c>
    </row>
    <row r="120" spans="1:6" ht="15" customHeight="1" x14ac:dyDescent="0.3">
      <c r="A120" s="28"/>
      <c r="B120" s="49"/>
      <c r="C120" s="17" t="s">
        <v>487</v>
      </c>
      <c r="D120" s="17" t="s">
        <v>489</v>
      </c>
      <c r="E120" s="15" t="s">
        <v>720</v>
      </c>
      <c r="F120" s="49" t="s">
        <v>968</v>
      </c>
    </row>
    <row r="121" spans="1:6" ht="31.2" customHeight="1" x14ac:dyDescent="0.3">
      <c r="A121" s="28"/>
      <c r="B121" s="49"/>
      <c r="C121" s="17" t="s">
        <v>969</v>
      </c>
      <c r="D121" s="17" t="s">
        <v>970</v>
      </c>
      <c r="E121" s="15" t="s">
        <v>720</v>
      </c>
      <c r="F121" s="49" t="s">
        <v>971</v>
      </c>
    </row>
    <row r="122" spans="1:6" ht="62.4" customHeight="1" x14ac:dyDescent="0.3">
      <c r="A122" s="28"/>
      <c r="B122" s="49"/>
      <c r="C122" s="17" t="s">
        <v>972</v>
      </c>
      <c r="D122" s="17" t="s">
        <v>764</v>
      </c>
      <c r="E122" s="15" t="s">
        <v>751</v>
      </c>
      <c r="F122" s="49" t="s">
        <v>973</v>
      </c>
    </row>
    <row r="123" spans="1:6" ht="15" customHeight="1" x14ac:dyDescent="0.3">
      <c r="A123" s="31" t="s">
        <v>599</v>
      </c>
      <c r="B123" s="67" t="s">
        <v>598</v>
      </c>
      <c r="C123" s="32" t="s">
        <v>974</v>
      </c>
      <c r="D123" s="32" t="s">
        <v>448</v>
      </c>
      <c r="E123" s="33" t="s">
        <v>720</v>
      </c>
      <c r="F123" s="34" t="s">
        <v>975</v>
      </c>
    </row>
    <row r="124" spans="1:6" ht="15" customHeight="1" x14ac:dyDescent="0.3">
      <c r="A124" s="28"/>
      <c r="B124" s="49"/>
      <c r="C124" s="17" t="s">
        <v>976</v>
      </c>
      <c r="D124" s="17" t="s">
        <v>607</v>
      </c>
      <c r="E124" s="15" t="s">
        <v>751</v>
      </c>
      <c r="F124" s="49" t="s">
        <v>977</v>
      </c>
    </row>
    <row r="125" spans="1:6" ht="15.6" customHeight="1" x14ac:dyDescent="0.3">
      <c r="A125" s="28"/>
      <c r="B125" s="49"/>
      <c r="C125" s="17" t="s">
        <v>978</v>
      </c>
      <c r="D125" s="17" t="s">
        <v>777</v>
      </c>
      <c r="E125" s="15" t="s">
        <v>751</v>
      </c>
      <c r="F125" s="49" t="s">
        <v>979</v>
      </c>
    </row>
    <row r="126" spans="1:6" ht="31.2" customHeight="1" x14ac:dyDescent="0.3">
      <c r="A126" s="28"/>
      <c r="B126" s="49"/>
      <c r="C126" s="17" t="s">
        <v>980</v>
      </c>
      <c r="D126" s="17" t="s">
        <v>859</v>
      </c>
      <c r="E126" s="15" t="s">
        <v>751</v>
      </c>
      <c r="F126" s="49" t="s">
        <v>981</v>
      </c>
    </row>
    <row r="127" spans="1:6" ht="15" customHeight="1" x14ac:dyDescent="0.3">
      <c r="A127" s="28"/>
      <c r="B127" s="49"/>
      <c r="C127" s="17" t="s">
        <v>982</v>
      </c>
      <c r="D127" s="17" t="s">
        <v>859</v>
      </c>
      <c r="E127" s="15" t="s">
        <v>751</v>
      </c>
      <c r="F127" s="49" t="s">
        <v>983</v>
      </c>
    </row>
    <row r="128" spans="1:6" ht="29.25" customHeight="1" x14ac:dyDescent="0.3">
      <c r="A128" s="31" t="s">
        <v>417</v>
      </c>
      <c r="B128" s="67" t="s">
        <v>416</v>
      </c>
      <c r="C128" s="32" t="s">
        <v>984</v>
      </c>
      <c r="D128" s="32" t="s">
        <v>403</v>
      </c>
      <c r="E128" s="33" t="s">
        <v>720</v>
      </c>
      <c r="F128" s="34" t="s">
        <v>985</v>
      </c>
    </row>
    <row r="129" spans="1:6" ht="15" customHeight="1" x14ac:dyDescent="0.3">
      <c r="A129" s="28"/>
      <c r="B129" s="49"/>
      <c r="C129" s="17" t="s">
        <v>986</v>
      </c>
      <c r="D129" s="17" t="s">
        <v>448</v>
      </c>
      <c r="E129" s="15" t="s">
        <v>720</v>
      </c>
      <c r="F129" s="49" t="s">
        <v>987</v>
      </c>
    </row>
    <row r="130" spans="1:6" ht="31.2" customHeight="1" x14ac:dyDescent="0.3">
      <c r="A130" s="28"/>
      <c r="B130" s="49"/>
      <c r="C130" s="17" t="s">
        <v>988</v>
      </c>
      <c r="D130" s="17" t="s">
        <v>448</v>
      </c>
      <c r="E130" s="15" t="s">
        <v>720</v>
      </c>
      <c r="F130" s="49" t="s">
        <v>989</v>
      </c>
    </row>
    <row r="131" spans="1:6" ht="15" customHeight="1" x14ac:dyDescent="0.3">
      <c r="A131" s="28"/>
      <c r="B131" s="49"/>
      <c r="C131" s="17" t="s">
        <v>990</v>
      </c>
      <c r="D131" s="17" t="s">
        <v>403</v>
      </c>
      <c r="E131" s="15" t="s">
        <v>720</v>
      </c>
      <c r="F131" s="49" t="s">
        <v>991</v>
      </c>
    </row>
    <row r="132" spans="1:6" ht="15" customHeight="1" x14ac:dyDescent="0.3">
      <c r="A132" s="31" t="s">
        <v>425</v>
      </c>
      <c r="B132" s="67" t="s">
        <v>424</v>
      </c>
      <c r="C132" s="32" t="s">
        <v>992</v>
      </c>
      <c r="D132" s="32" t="s">
        <v>364</v>
      </c>
      <c r="E132" s="33" t="s">
        <v>720</v>
      </c>
      <c r="F132" s="34"/>
    </row>
    <row r="133" spans="1:6" ht="15" customHeight="1" x14ac:dyDescent="0.3">
      <c r="A133" s="28"/>
      <c r="B133" s="49"/>
      <c r="C133" s="17" t="s">
        <v>352</v>
      </c>
      <c r="D133" s="17" t="s">
        <v>354</v>
      </c>
      <c r="E133" s="15" t="s">
        <v>720</v>
      </c>
      <c r="F133" s="49"/>
    </row>
    <row r="134" spans="1:6" ht="15" customHeight="1" x14ac:dyDescent="0.3">
      <c r="A134" s="28"/>
      <c r="B134" s="49"/>
      <c r="C134" s="17" t="s">
        <v>993</v>
      </c>
      <c r="D134" s="17" t="s">
        <v>432</v>
      </c>
      <c r="E134" s="15" t="s">
        <v>720</v>
      </c>
      <c r="F134" s="49" t="s">
        <v>994</v>
      </c>
    </row>
    <row r="135" spans="1:6" ht="15" customHeight="1" x14ac:dyDescent="0.3">
      <c r="A135" s="31" t="s">
        <v>995</v>
      </c>
      <c r="B135" s="67" t="s">
        <v>996</v>
      </c>
      <c r="C135" s="32" t="s">
        <v>806</v>
      </c>
      <c r="D135" s="32" t="s">
        <v>364</v>
      </c>
      <c r="E135" s="33" t="s">
        <v>720</v>
      </c>
      <c r="F135" s="34" t="s">
        <v>997</v>
      </c>
    </row>
    <row r="136" spans="1:6" ht="26.4" customHeight="1" x14ac:dyDescent="0.3">
      <c r="A136" s="28"/>
      <c r="B136" s="49"/>
      <c r="C136" s="17" t="s">
        <v>998</v>
      </c>
      <c r="D136" s="17" t="s">
        <v>999</v>
      </c>
      <c r="E136" s="15" t="s">
        <v>720</v>
      </c>
      <c r="F136" s="49"/>
    </row>
    <row r="137" spans="1:6" ht="15" customHeight="1" x14ac:dyDescent="0.3">
      <c r="A137" s="28"/>
      <c r="B137" s="49"/>
      <c r="C137" s="17" t="s">
        <v>1000</v>
      </c>
      <c r="D137" s="17" t="s">
        <v>383</v>
      </c>
      <c r="E137" s="15" t="s">
        <v>720</v>
      </c>
      <c r="F137" s="49" t="s">
        <v>1001</v>
      </c>
    </row>
    <row r="138" spans="1:6" ht="15" customHeight="1" x14ac:dyDescent="0.3">
      <c r="A138" s="28"/>
      <c r="B138" s="49"/>
      <c r="C138" s="17" t="s">
        <v>434</v>
      </c>
      <c r="D138" s="17" t="s">
        <v>364</v>
      </c>
      <c r="E138" s="15" t="s">
        <v>720</v>
      </c>
      <c r="F138" s="49" t="s">
        <v>1002</v>
      </c>
    </row>
    <row r="139" spans="1:6" ht="15" customHeight="1" x14ac:dyDescent="0.3">
      <c r="A139" s="28"/>
      <c r="B139" s="49"/>
      <c r="C139" s="17" t="s">
        <v>1003</v>
      </c>
      <c r="D139" s="17" t="s">
        <v>773</v>
      </c>
      <c r="E139" s="15" t="s">
        <v>720</v>
      </c>
      <c r="F139" s="49" t="s">
        <v>1004</v>
      </c>
    </row>
    <row r="140" spans="1:6" ht="31.2" customHeight="1" x14ac:dyDescent="0.3">
      <c r="A140" s="31" t="s">
        <v>1005</v>
      </c>
      <c r="B140" s="67" t="s">
        <v>1006</v>
      </c>
      <c r="C140" s="32" t="s">
        <v>848</v>
      </c>
      <c r="D140" s="32" t="s">
        <v>448</v>
      </c>
      <c r="E140" s="33" t="s">
        <v>720</v>
      </c>
      <c r="F140" s="34" t="s">
        <v>1007</v>
      </c>
    </row>
    <row r="141" spans="1:6" ht="31.2" customHeight="1" x14ac:dyDescent="0.3">
      <c r="A141" s="28"/>
      <c r="B141" s="49"/>
      <c r="C141" s="17" t="s">
        <v>846</v>
      </c>
      <c r="D141" s="17" t="s">
        <v>383</v>
      </c>
      <c r="E141" s="15" t="s">
        <v>720</v>
      </c>
      <c r="F141" s="49" t="s">
        <v>1007</v>
      </c>
    </row>
    <row r="142" spans="1:6" ht="15" customHeight="1" x14ac:dyDescent="0.3">
      <c r="A142" s="28"/>
      <c r="B142" s="49"/>
      <c r="C142" s="17" t="s">
        <v>1008</v>
      </c>
      <c r="D142" s="17" t="s">
        <v>1009</v>
      </c>
      <c r="E142" s="15" t="s">
        <v>751</v>
      </c>
      <c r="F142" s="49"/>
    </row>
    <row r="143" spans="1:6" ht="15" customHeight="1" x14ac:dyDescent="0.3">
      <c r="A143" s="31" t="s">
        <v>472</v>
      </c>
      <c r="B143" s="67" t="s">
        <v>471</v>
      </c>
      <c r="C143" s="32" t="s">
        <v>474</v>
      </c>
      <c r="D143" s="32" t="s">
        <v>476</v>
      </c>
      <c r="E143" s="33" t="s">
        <v>720</v>
      </c>
      <c r="F143" s="34" t="s">
        <v>1010</v>
      </c>
    </row>
    <row r="144" spans="1:6" ht="15" customHeight="1" x14ac:dyDescent="0.3">
      <c r="A144" s="28"/>
      <c r="B144" s="49"/>
      <c r="C144" s="17" t="s">
        <v>446</v>
      </c>
      <c r="D144" s="17" t="s">
        <v>448</v>
      </c>
      <c r="E144" s="15" t="s">
        <v>720</v>
      </c>
      <c r="F144" s="49" t="s">
        <v>1011</v>
      </c>
    </row>
    <row r="145" spans="1:6" ht="15" customHeight="1" x14ac:dyDescent="0.3">
      <c r="A145" s="28"/>
      <c r="B145" s="49"/>
      <c r="C145" s="17" t="s">
        <v>479</v>
      </c>
      <c r="D145" s="17" t="s">
        <v>481</v>
      </c>
      <c r="E145" s="15" t="s">
        <v>720</v>
      </c>
      <c r="F145" s="49"/>
    </row>
    <row r="146" spans="1:6" ht="15" customHeight="1" x14ac:dyDescent="0.3">
      <c r="A146" s="28"/>
      <c r="B146" s="49"/>
      <c r="C146" s="17" t="s">
        <v>483</v>
      </c>
      <c r="D146" s="17" t="s">
        <v>485</v>
      </c>
      <c r="E146" s="15" t="s">
        <v>720</v>
      </c>
      <c r="F146" s="49"/>
    </row>
    <row r="147" spans="1:6" ht="15" customHeight="1" x14ac:dyDescent="0.3">
      <c r="A147" s="28"/>
      <c r="B147" s="49"/>
      <c r="C147" s="17" t="s">
        <v>550</v>
      </c>
      <c r="D147" s="17" t="s">
        <v>462</v>
      </c>
      <c r="E147" s="15" t="s">
        <v>720</v>
      </c>
      <c r="F147" s="49" t="s">
        <v>1012</v>
      </c>
    </row>
    <row r="148" spans="1:6" ht="15" customHeight="1" x14ac:dyDescent="0.3">
      <c r="A148" s="31" t="s">
        <v>1013</v>
      </c>
      <c r="B148" s="67" t="s">
        <v>1014</v>
      </c>
      <c r="C148" s="32" t="s">
        <v>1015</v>
      </c>
      <c r="D148" s="32" t="s">
        <v>364</v>
      </c>
      <c r="E148" s="33" t="s">
        <v>720</v>
      </c>
      <c r="F148" s="34" t="s">
        <v>1016</v>
      </c>
    </row>
    <row r="149" spans="1:6" ht="15" customHeight="1" x14ac:dyDescent="0.3">
      <c r="A149" s="28"/>
      <c r="B149" s="49"/>
      <c r="C149" s="17" t="s">
        <v>950</v>
      </c>
      <c r="D149" s="17" t="s">
        <v>364</v>
      </c>
      <c r="E149" s="15" t="s">
        <v>720</v>
      </c>
      <c r="F149" s="49"/>
    </row>
    <row r="150" spans="1:6" ht="15" customHeight="1" x14ac:dyDescent="0.3">
      <c r="A150" s="28"/>
      <c r="B150" s="49"/>
      <c r="C150" s="17" t="s">
        <v>1017</v>
      </c>
      <c r="D150" s="17" t="s">
        <v>1018</v>
      </c>
      <c r="E150" s="15" t="s">
        <v>720</v>
      </c>
      <c r="F150" s="49" t="s">
        <v>1019</v>
      </c>
    </row>
    <row r="151" spans="1:6" ht="15" customHeight="1" x14ac:dyDescent="0.3">
      <c r="A151" s="31" t="s">
        <v>563</v>
      </c>
      <c r="B151" s="67" t="s">
        <v>1020</v>
      </c>
      <c r="C151" s="32" t="s">
        <v>1021</v>
      </c>
      <c r="D151" s="32" t="s">
        <v>364</v>
      </c>
      <c r="E151" s="33" t="s">
        <v>720</v>
      </c>
      <c r="F151" s="34" t="s">
        <v>1022</v>
      </c>
    </row>
    <row r="152" spans="1:6" ht="31.2" customHeight="1" x14ac:dyDescent="0.3">
      <c r="A152" s="28"/>
      <c r="B152" s="49"/>
      <c r="C152" s="17" t="s">
        <v>946</v>
      </c>
      <c r="D152" s="17" t="s">
        <v>364</v>
      </c>
      <c r="E152" s="15" t="s">
        <v>720</v>
      </c>
      <c r="F152" s="49" t="s">
        <v>1023</v>
      </c>
    </row>
    <row r="153" spans="1:6" ht="31.2" customHeight="1" x14ac:dyDescent="0.3">
      <c r="A153" s="28"/>
      <c r="B153" s="49"/>
      <c r="C153" s="17" t="s">
        <v>1024</v>
      </c>
      <c r="D153" s="17" t="s">
        <v>403</v>
      </c>
      <c r="E153" s="15" t="s">
        <v>720</v>
      </c>
      <c r="F153" s="49" t="s">
        <v>1025</v>
      </c>
    </row>
    <row r="154" spans="1:6" ht="31.2" customHeight="1" x14ac:dyDescent="0.3">
      <c r="A154" s="28"/>
      <c r="B154" s="49"/>
      <c r="C154" s="17" t="s">
        <v>1026</v>
      </c>
      <c r="D154" s="17" t="s">
        <v>383</v>
      </c>
      <c r="E154" s="15" t="s">
        <v>720</v>
      </c>
      <c r="F154" s="49" t="s">
        <v>1027</v>
      </c>
    </row>
    <row r="155" spans="1:6" ht="15" customHeight="1" x14ac:dyDescent="0.3">
      <c r="A155" s="31" t="s">
        <v>515</v>
      </c>
      <c r="B155" s="67" t="s">
        <v>514</v>
      </c>
      <c r="C155" s="32" t="s">
        <v>521</v>
      </c>
      <c r="D155" s="32" t="s">
        <v>364</v>
      </c>
      <c r="E155" s="33" t="s">
        <v>720</v>
      </c>
      <c r="F155" s="34" t="s">
        <v>1028</v>
      </c>
    </row>
    <row r="156" spans="1:6" ht="31.2" customHeight="1" x14ac:dyDescent="0.3">
      <c r="A156" s="28"/>
      <c r="B156" s="49"/>
      <c r="C156" s="17" t="s">
        <v>821</v>
      </c>
      <c r="D156" s="17" t="s">
        <v>1029</v>
      </c>
      <c r="E156" s="15" t="s">
        <v>720</v>
      </c>
      <c r="F156" s="49" t="s">
        <v>1030</v>
      </c>
    </row>
    <row r="157" spans="1:6" ht="31.2" customHeight="1" x14ac:dyDescent="0.3">
      <c r="A157" s="28"/>
      <c r="B157" s="49"/>
      <c r="C157" s="17" t="s">
        <v>1031</v>
      </c>
      <c r="D157" s="17" t="s">
        <v>364</v>
      </c>
      <c r="E157" s="15" t="s">
        <v>720</v>
      </c>
      <c r="F157" s="49" t="s">
        <v>1032</v>
      </c>
    </row>
    <row r="158" spans="1:6" ht="15" customHeight="1" x14ac:dyDescent="0.3">
      <c r="A158" s="28"/>
      <c r="B158" s="49"/>
      <c r="C158" s="17" t="s">
        <v>1033</v>
      </c>
      <c r="D158" s="17" t="s">
        <v>448</v>
      </c>
      <c r="E158" s="15" t="s">
        <v>720</v>
      </c>
      <c r="F158" s="49"/>
    </row>
    <row r="159" spans="1:6" ht="62.4" customHeight="1" x14ac:dyDescent="0.3">
      <c r="A159" s="28"/>
      <c r="B159" s="49"/>
      <c r="C159" s="17" t="s">
        <v>660</v>
      </c>
      <c r="D159" s="17" t="s">
        <v>764</v>
      </c>
      <c r="E159" s="15" t="s">
        <v>751</v>
      </c>
      <c r="F159" s="49" t="s">
        <v>1034</v>
      </c>
    </row>
    <row r="160" spans="1:6" ht="31.2" customHeight="1" x14ac:dyDescent="0.3">
      <c r="A160" s="28"/>
      <c r="B160" s="49"/>
      <c r="C160" s="17" t="s">
        <v>517</v>
      </c>
      <c r="D160" s="17" t="s">
        <v>448</v>
      </c>
      <c r="E160" s="15" t="s">
        <v>720</v>
      </c>
      <c r="F160" s="49" t="s">
        <v>1035</v>
      </c>
    </row>
    <row r="161" spans="1:6" ht="15" customHeight="1" x14ac:dyDescent="0.3">
      <c r="A161" s="31" t="s">
        <v>527</v>
      </c>
      <c r="B161" s="67" t="s">
        <v>526</v>
      </c>
      <c r="C161" s="32" t="s">
        <v>1036</v>
      </c>
      <c r="D161" s="32" t="s">
        <v>364</v>
      </c>
      <c r="E161" s="33" t="s">
        <v>720</v>
      </c>
      <c r="F161" s="34"/>
    </row>
    <row r="162" spans="1:6" ht="46.8" customHeight="1" x14ac:dyDescent="0.3">
      <c r="A162" s="28"/>
      <c r="B162" s="49"/>
      <c r="C162" s="17" t="s">
        <v>914</v>
      </c>
      <c r="D162" s="17" t="s">
        <v>1037</v>
      </c>
      <c r="E162" s="15" t="s">
        <v>720</v>
      </c>
      <c r="F162" s="49" t="s">
        <v>1038</v>
      </c>
    </row>
    <row r="163" spans="1:6" ht="15" customHeight="1" x14ac:dyDescent="0.3">
      <c r="A163" s="28"/>
      <c r="B163" s="49"/>
      <c r="C163" s="17" t="s">
        <v>1039</v>
      </c>
      <c r="D163" s="17" t="s">
        <v>364</v>
      </c>
      <c r="E163" s="15" t="s">
        <v>720</v>
      </c>
      <c r="F163" s="49" t="s">
        <v>1040</v>
      </c>
    </row>
    <row r="164" spans="1:6" ht="15" customHeight="1" x14ac:dyDescent="0.3">
      <c r="A164" s="31" t="s">
        <v>502</v>
      </c>
      <c r="B164" s="67" t="s">
        <v>501</v>
      </c>
      <c r="C164" s="32" t="s">
        <v>1041</v>
      </c>
      <c r="D164" s="32" t="s">
        <v>1042</v>
      </c>
      <c r="E164" s="33" t="s">
        <v>720</v>
      </c>
      <c r="F164" s="34" t="s">
        <v>1043</v>
      </c>
    </row>
    <row r="165" spans="1:6" ht="15" customHeight="1" x14ac:dyDescent="0.3">
      <c r="A165" s="28"/>
      <c r="B165" s="49"/>
      <c r="C165" s="17" t="s">
        <v>505</v>
      </c>
      <c r="D165" s="17" t="s">
        <v>507</v>
      </c>
      <c r="E165" s="15" t="s">
        <v>720</v>
      </c>
      <c r="F165" s="49"/>
    </row>
    <row r="166" spans="1:6" ht="15" customHeight="1" x14ac:dyDescent="0.3">
      <c r="A166" s="31" t="s">
        <v>1044</v>
      </c>
      <c r="B166" s="67" t="s">
        <v>506</v>
      </c>
      <c r="C166" s="32" t="s">
        <v>1045</v>
      </c>
      <c r="D166" s="32" t="s">
        <v>364</v>
      </c>
      <c r="E166" s="33" t="s">
        <v>720</v>
      </c>
      <c r="F166" s="34" t="s">
        <v>1046</v>
      </c>
    </row>
    <row r="167" spans="1:6" ht="15" customHeight="1" x14ac:dyDescent="0.3">
      <c r="A167" s="28"/>
      <c r="B167" s="49"/>
      <c r="C167" s="17" t="s">
        <v>1047</v>
      </c>
      <c r="D167" s="17" t="s">
        <v>1048</v>
      </c>
      <c r="E167" s="15" t="s">
        <v>720</v>
      </c>
      <c r="F167" s="49"/>
    </row>
    <row r="168" spans="1:6" ht="15" customHeight="1" x14ac:dyDescent="0.3">
      <c r="A168" s="28"/>
      <c r="B168" s="49"/>
      <c r="C168" s="17" t="s">
        <v>1049</v>
      </c>
      <c r="D168" s="17" t="s">
        <v>764</v>
      </c>
      <c r="E168" s="15" t="s">
        <v>751</v>
      </c>
      <c r="F168" s="49" t="s">
        <v>1050</v>
      </c>
    </row>
    <row r="169" spans="1:6" ht="15" customHeight="1" x14ac:dyDescent="0.3">
      <c r="A169" s="28"/>
      <c r="B169" s="49"/>
      <c r="C169" s="17" t="s">
        <v>1051</v>
      </c>
      <c r="D169" s="17" t="s">
        <v>364</v>
      </c>
      <c r="E169" s="15" t="s">
        <v>720</v>
      </c>
      <c r="F169" s="49"/>
    </row>
    <row r="170" spans="1:6" ht="31.2" customHeight="1" x14ac:dyDescent="0.3">
      <c r="A170" s="31" t="s">
        <v>537</v>
      </c>
      <c r="B170" s="67" t="s">
        <v>536</v>
      </c>
      <c r="C170" s="32" t="s">
        <v>1041</v>
      </c>
      <c r="D170" s="32" t="s">
        <v>1052</v>
      </c>
      <c r="E170" s="33" t="s">
        <v>720</v>
      </c>
      <c r="F170" s="34" t="s">
        <v>1053</v>
      </c>
    </row>
    <row r="171" spans="1:6" ht="31.2" customHeight="1" x14ac:dyDescent="0.3">
      <c r="A171" s="28"/>
      <c r="B171" s="49"/>
      <c r="C171" s="17" t="s">
        <v>627</v>
      </c>
      <c r="D171" s="17" t="s">
        <v>1054</v>
      </c>
      <c r="E171" s="15" t="s">
        <v>720</v>
      </c>
      <c r="F171" s="49" t="s">
        <v>1055</v>
      </c>
    </row>
    <row r="172" spans="1:6" ht="15" customHeight="1" x14ac:dyDescent="0.3">
      <c r="A172" s="31" t="s">
        <v>1056</v>
      </c>
      <c r="B172" s="67" t="s">
        <v>1057</v>
      </c>
      <c r="C172" s="32" t="s">
        <v>1058</v>
      </c>
      <c r="D172" s="32" t="s">
        <v>1059</v>
      </c>
      <c r="E172" s="33" t="s">
        <v>720</v>
      </c>
      <c r="F172" s="34"/>
    </row>
    <row r="173" spans="1:6" ht="62.4" customHeight="1" x14ac:dyDescent="0.3">
      <c r="A173" s="28"/>
      <c r="B173" s="49"/>
      <c r="C173" s="17" t="s">
        <v>1060</v>
      </c>
      <c r="D173" s="17" t="s">
        <v>364</v>
      </c>
      <c r="E173" s="15" t="s">
        <v>720</v>
      </c>
      <c r="F173" s="49" t="s">
        <v>1061</v>
      </c>
    </row>
    <row r="174" spans="1:6" ht="31.2" customHeight="1" x14ac:dyDescent="0.3">
      <c r="A174" s="28"/>
      <c r="B174" s="49"/>
      <c r="C174" s="17" t="s">
        <v>1062</v>
      </c>
      <c r="D174" s="17" t="s">
        <v>1048</v>
      </c>
      <c r="E174" s="15" t="s">
        <v>720</v>
      </c>
      <c r="F174" s="49" t="s">
        <v>1063</v>
      </c>
    </row>
    <row r="175" spans="1:6" ht="15" customHeight="1" x14ac:dyDescent="0.3">
      <c r="A175" s="28"/>
      <c r="B175" s="49"/>
      <c r="C175" s="17" t="s">
        <v>984</v>
      </c>
      <c r="D175" s="17" t="s">
        <v>403</v>
      </c>
      <c r="E175" s="15" t="s">
        <v>720</v>
      </c>
      <c r="F175" s="49" t="s">
        <v>1064</v>
      </c>
    </row>
    <row r="176" spans="1:6" ht="15" customHeight="1" x14ac:dyDescent="0.3">
      <c r="A176" s="28"/>
      <c r="B176" s="49"/>
      <c r="C176" s="17" t="s">
        <v>1065</v>
      </c>
      <c r="D176" s="17" t="s">
        <v>364</v>
      </c>
      <c r="E176" s="15" t="s">
        <v>720</v>
      </c>
      <c r="F176" s="49"/>
    </row>
    <row r="177" spans="1:6" ht="15" customHeight="1" x14ac:dyDescent="0.3">
      <c r="A177" s="31" t="s">
        <v>542</v>
      </c>
      <c r="B177" s="67" t="s">
        <v>541</v>
      </c>
      <c r="C177" s="32" t="s">
        <v>1066</v>
      </c>
      <c r="D177" s="32" t="s">
        <v>1052</v>
      </c>
      <c r="E177" s="33" t="s">
        <v>720</v>
      </c>
      <c r="F177" s="34"/>
    </row>
    <row r="178" spans="1:6" ht="15" customHeight="1" x14ac:dyDescent="0.3">
      <c r="A178" s="28"/>
      <c r="B178" s="49"/>
      <c r="C178" s="17" t="s">
        <v>1067</v>
      </c>
      <c r="D178" s="17" t="s">
        <v>448</v>
      </c>
      <c r="E178" s="15" t="s">
        <v>720</v>
      </c>
      <c r="F178" s="49" t="s">
        <v>1068</v>
      </c>
    </row>
    <row r="179" spans="1:6" ht="15" customHeight="1" x14ac:dyDescent="0.3">
      <c r="A179" s="28"/>
      <c r="B179" s="49"/>
      <c r="C179" s="17" t="s">
        <v>1069</v>
      </c>
      <c r="D179" s="17" t="s">
        <v>448</v>
      </c>
      <c r="E179" s="15" t="s">
        <v>720</v>
      </c>
      <c r="F179" s="49" t="s">
        <v>1070</v>
      </c>
    </row>
    <row r="180" spans="1:6" ht="15" customHeight="1" x14ac:dyDescent="0.3">
      <c r="A180" s="28"/>
      <c r="B180" s="49"/>
      <c r="C180" s="17" t="s">
        <v>1071</v>
      </c>
      <c r="D180" s="17" t="s">
        <v>448</v>
      </c>
      <c r="E180" s="15" t="s">
        <v>720</v>
      </c>
      <c r="F180" s="49" t="s">
        <v>1072</v>
      </c>
    </row>
    <row r="181" spans="1:6" ht="46.8" customHeight="1" x14ac:dyDescent="0.3">
      <c r="A181" s="28"/>
      <c r="B181" s="49"/>
      <c r="C181" s="17" t="s">
        <v>1073</v>
      </c>
      <c r="D181" s="17" t="s">
        <v>1074</v>
      </c>
      <c r="E181" s="15" t="s">
        <v>720</v>
      </c>
      <c r="F181" s="49" t="s">
        <v>1075</v>
      </c>
    </row>
    <row r="182" spans="1:6" ht="31.2" customHeight="1" x14ac:dyDescent="0.3">
      <c r="A182" s="31" t="s">
        <v>638</v>
      </c>
      <c r="B182" s="67" t="s">
        <v>637</v>
      </c>
      <c r="C182" s="32" t="s">
        <v>500</v>
      </c>
      <c r="D182" s="32" t="s">
        <v>502</v>
      </c>
      <c r="E182" s="33" t="s">
        <v>720</v>
      </c>
      <c r="F182" s="34" t="s">
        <v>1076</v>
      </c>
    </row>
    <row r="183" spans="1:6" ht="15" customHeight="1" x14ac:dyDescent="0.3">
      <c r="A183" s="28"/>
      <c r="B183" s="49"/>
      <c r="C183" s="17" t="s">
        <v>530</v>
      </c>
      <c r="D183" s="17" t="s">
        <v>1077</v>
      </c>
      <c r="E183" s="15" t="s">
        <v>751</v>
      </c>
      <c r="F183" s="49" t="s">
        <v>1078</v>
      </c>
    </row>
    <row r="184" spans="1:6" ht="15" customHeight="1" x14ac:dyDescent="0.3">
      <c r="A184" s="28"/>
      <c r="B184" s="49"/>
      <c r="C184" s="17" t="s">
        <v>1041</v>
      </c>
      <c r="D184" s="17" t="s">
        <v>1079</v>
      </c>
      <c r="E184" s="15" t="s">
        <v>720</v>
      </c>
      <c r="F184" s="49"/>
    </row>
    <row r="185" spans="1:6" ht="15" customHeight="1" x14ac:dyDescent="0.3">
      <c r="A185" s="28"/>
      <c r="B185" s="49"/>
      <c r="C185" s="17" t="s">
        <v>612</v>
      </c>
      <c r="D185" s="17" t="s">
        <v>1048</v>
      </c>
      <c r="E185" s="15" t="s">
        <v>720</v>
      </c>
      <c r="F185" s="49" t="s">
        <v>1080</v>
      </c>
    </row>
    <row r="186" spans="1:6" ht="15" customHeight="1" x14ac:dyDescent="0.3">
      <c r="A186" s="28"/>
      <c r="B186" s="49"/>
      <c r="C186" s="17" t="s">
        <v>984</v>
      </c>
      <c r="D186" s="17" t="s">
        <v>403</v>
      </c>
      <c r="E186" s="15" t="s">
        <v>720</v>
      </c>
      <c r="F186" s="49"/>
    </row>
    <row r="187" spans="1:6" ht="15" customHeight="1" x14ac:dyDescent="0.3">
      <c r="A187" s="28"/>
      <c r="B187" s="49"/>
      <c r="C187" s="17" t="s">
        <v>640</v>
      </c>
      <c r="D187" s="17" t="s">
        <v>448</v>
      </c>
      <c r="E187" s="15" t="s">
        <v>720</v>
      </c>
      <c r="F187" s="49" t="s">
        <v>1081</v>
      </c>
    </row>
    <row r="188" spans="1:6" ht="31.2" customHeight="1" x14ac:dyDescent="0.3">
      <c r="A188" s="28"/>
      <c r="B188" s="49"/>
      <c r="C188" s="17" t="s">
        <v>644</v>
      </c>
      <c r="D188" s="17" t="s">
        <v>646</v>
      </c>
      <c r="E188" s="15" t="s">
        <v>720</v>
      </c>
      <c r="F188" s="49" t="s">
        <v>1082</v>
      </c>
    </row>
    <row r="189" spans="1:6" ht="15" customHeight="1" x14ac:dyDescent="0.3">
      <c r="A189" s="28"/>
      <c r="B189" s="49"/>
      <c r="C189" s="17" t="s">
        <v>617</v>
      </c>
      <c r="D189" s="17" t="s">
        <v>619</v>
      </c>
      <c r="E189" s="15" t="s">
        <v>720</v>
      </c>
      <c r="F189" s="49" t="s">
        <v>1083</v>
      </c>
    </row>
    <row r="190" spans="1:6" ht="46.8" customHeight="1" x14ac:dyDescent="0.3">
      <c r="A190" s="28"/>
      <c r="B190" s="49"/>
      <c r="C190" s="17" t="s">
        <v>1084</v>
      </c>
      <c r="D190" s="17" t="s">
        <v>1085</v>
      </c>
      <c r="E190" s="15" t="s">
        <v>720</v>
      </c>
      <c r="F190" s="49" t="s">
        <v>1086</v>
      </c>
    </row>
    <row r="191" spans="1:6" ht="31.2" customHeight="1" x14ac:dyDescent="0.3">
      <c r="A191" s="28"/>
      <c r="B191" s="49"/>
      <c r="C191" s="17" t="s">
        <v>1087</v>
      </c>
      <c r="D191" s="17" t="s">
        <v>1079</v>
      </c>
      <c r="E191" s="15" t="s">
        <v>720</v>
      </c>
      <c r="F191" s="49" t="s">
        <v>1088</v>
      </c>
    </row>
    <row r="192" spans="1:6" ht="62.4" customHeight="1" x14ac:dyDescent="0.3">
      <c r="A192" s="28"/>
      <c r="B192" s="49"/>
      <c r="C192" s="17" t="s">
        <v>1089</v>
      </c>
      <c r="D192" s="17" t="s">
        <v>1090</v>
      </c>
      <c r="E192" s="15" t="s">
        <v>751</v>
      </c>
      <c r="F192" s="49" t="s">
        <v>1091</v>
      </c>
    </row>
    <row r="193" spans="1:6" ht="31.2" customHeight="1" x14ac:dyDescent="0.3">
      <c r="A193" s="28"/>
      <c r="B193" s="49"/>
      <c r="C193" s="17" t="s">
        <v>679</v>
      </c>
      <c r="D193" s="17" t="s">
        <v>681</v>
      </c>
      <c r="E193" s="15" t="s">
        <v>720</v>
      </c>
      <c r="F193" s="49" t="s">
        <v>1092</v>
      </c>
    </row>
    <row r="194" spans="1:6" ht="31.2" customHeight="1" x14ac:dyDescent="0.3">
      <c r="A194" s="28"/>
      <c r="B194" s="49"/>
      <c r="C194" s="17" t="s">
        <v>1093</v>
      </c>
      <c r="D194" s="17" t="s">
        <v>1094</v>
      </c>
      <c r="E194" s="15" t="s">
        <v>720</v>
      </c>
      <c r="F194" s="49" t="s">
        <v>1095</v>
      </c>
    </row>
    <row r="195" spans="1:6" ht="31.2" customHeight="1" x14ac:dyDescent="0.3">
      <c r="A195" s="28"/>
      <c r="B195" s="49"/>
      <c r="C195" s="17" t="s">
        <v>1096</v>
      </c>
      <c r="D195" s="17" t="s">
        <v>448</v>
      </c>
      <c r="E195" s="15" t="s">
        <v>720</v>
      </c>
      <c r="F195" s="49" t="s">
        <v>1097</v>
      </c>
    </row>
    <row r="196" spans="1:6" ht="46.8" customHeight="1" x14ac:dyDescent="0.3">
      <c r="A196" s="28"/>
      <c r="B196" s="49"/>
      <c r="C196" s="17" t="s">
        <v>772</v>
      </c>
      <c r="D196" s="17" t="s">
        <v>773</v>
      </c>
      <c r="E196" s="15" t="s">
        <v>720</v>
      </c>
      <c r="F196" s="49" t="s">
        <v>1098</v>
      </c>
    </row>
    <row r="197" spans="1:6" ht="15" customHeight="1" x14ac:dyDescent="0.3">
      <c r="A197" s="28"/>
      <c r="B197" s="49"/>
      <c r="C197" s="17" t="s">
        <v>1099</v>
      </c>
      <c r="D197" s="17" t="s">
        <v>364</v>
      </c>
      <c r="E197" s="15" t="s">
        <v>720</v>
      </c>
      <c r="F197" s="49" t="s">
        <v>1100</v>
      </c>
    </row>
    <row r="198" spans="1:6" ht="15" customHeight="1" x14ac:dyDescent="0.3">
      <c r="A198" s="31" t="s">
        <v>1101</v>
      </c>
      <c r="B198" s="67" t="s">
        <v>645</v>
      </c>
      <c r="C198" s="32" t="s">
        <v>806</v>
      </c>
      <c r="D198" s="32" t="s">
        <v>364</v>
      </c>
      <c r="E198" s="33" t="s">
        <v>720</v>
      </c>
      <c r="F198" s="34" t="s">
        <v>641</v>
      </c>
    </row>
    <row r="199" spans="1:6" ht="26.4" customHeight="1" x14ac:dyDescent="0.3">
      <c r="A199" s="28"/>
      <c r="B199" s="49"/>
      <c r="C199" s="17" t="s">
        <v>1102</v>
      </c>
      <c r="D199" s="17" t="s">
        <v>1103</v>
      </c>
      <c r="E199" s="15" t="s">
        <v>720</v>
      </c>
      <c r="F199" s="49" t="s">
        <v>1104</v>
      </c>
    </row>
    <row r="200" spans="1:6" ht="15" customHeight="1" x14ac:dyDescent="0.3">
      <c r="A200" s="28"/>
      <c r="B200" s="49"/>
      <c r="C200" s="17" t="s">
        <v>1105</v>
      </c>
      <c r="D200" s="17" t="s">
        <v>448</v>
      </c>
      <c r="E200" s="15" t="s">
        <v>720</v>
      </c>
      <c r="F200" s="49" t="s">
        <v>1106</v>
      </c>
    </row>
    <row r="201" spans="1:6" ht="15" customHeight="1" x14ac:dyDescent="0.3">
      <c r="A201" s="28"/>
      <c r="B201" s="49"/>
      <c r="C201" s="17" t="s">
        <v>1107</v>
      </c>
      <c r="D201" s="17" t="s">
        <v>364</v>
      </c>
      <c r="E201" s="15" t="s">
        <v>720</v>
      </c>
      <c r="F201" s="49" t="s">
        <v>1108</v>
      </c>
    </row>
    <row r="202" spans="1:6" ht="31.2" customHeight="1" x14ac:dyDescent="0.3">
      <c r="A202" s="28"/>
      <c r="B202" s="49"/>
      <c r="C202" s="17" t="s">
        <v>1109</v>
      </c>
      <c r="D202" s="17" t="s">
        <v>364</v>
      </c>
      <c r="E202" s="15" t="s">
        <v>720</v>
      </c>
      <c r="F202" s="49" t="s">
        <v>1110</v>
      </c>
    </row>
    <row r="203" spans="1:6" ht="62.4" customHeight="1" x14ac:dyDescent="0.3">
      <c r="A203" s="28"/>
      <c r="B203" s="49"/>
      <c r="C203" s="17" t="s">
        <v>1111</v>
      </c>
      <c r="D203" s="17" t="s">
        <v>1112</v>
      </c>
      <c r="E203" s="15" t="s">
        <v>720</v>
      </c>
      <c r="F203" s="49" t="s">
        <v>1113</v>
      </c>
    </row>
    <row r="204" spans="1:6" ht="31.2" customHeight="1" x14ac:dyDescent="0.3">
      <c r="A204" s="31" t="s">
        <v>1114</v>
      </c>
      <c r="B204" s="67" t="s">
        <v>438</v>
      </c>
      <c r="C204" s="32" t="s">
        <v>1115</v>
      </c>
      <c r="D204" s="32" t="s">
        <v>1116</v>
      </c>
      <c r="E204" s="33" t="s">
        <v>720</v>
      </c>
      <c r="F204" s="34" t="s">
        <v>1117</v>
      </c>
    </row>
    <row r="205" spans="1:6" ht="15" customHeight="1" x14ac:dyDescent="0.3">
      <c r="A205" s="28"/>
      <c r="B205" s="49"/>
      <c r="C205" s="17" t="s">
        <v>1118</v>
      </c>
      <c r="D205" s="17" t="s">
        <v>364</v>
      </c>
      <c r="E205" s="15" t="s">
        <v>720</v>
      </c>
      <c r="F205" s="49" t="s">
        <v>1119</v>
      </c>
    </row>
    <row r="206" spans="1:6" ht="31.2" customHeight="1" x14ac:dyDescent="0.3">
      <c r="A206" s="28"/>
      <c r="B206" s="49"/>
      <c r="C206" s="17" t="s">
        <v>1120</v>
      </c>
      <c r="D206" s="17" t="s">
        <v>448</v>
      </c>
      <c r="E206" s="15" t="s">
        <v>720</v>
      </c>
      <c r="F206" s="49" t="s">
        <v>1121</v>
      </c>
    </row>
    <row r="207" spans="1:6" ht="15" customHeight="1" x14ac:dyDescent="0.3">
      <c r="A207" s="28"/>
      <c r="B207" s="49"/>
      <c r="C207" s="17" t="s">
        <v>1000</v>
      </c>
      <c r="D207" s="17" t="s">
        <v>1122</v>
      </c>
      <c r="E207" s="15" t="s">
        <v>751</v>
      </c>
      <c r="F207" s="49" t="s">
        <v>1123</v>
      </c>
    </row>
    <row r="208" spans="1:6" ht="46.8" customHeight="1" x14ac:dyDescent="0.3">
      <c r="A208" s="28"/>
      <c r="B208" s="49"/>
      <c r="C208" s="17" t="s">
        <v>1124</v>
      </c>
      <c r="D208" s="17" t="s">
        <v>403</v>
      </c>
      <c r="E208" s="15" t="s">
        <v>720</v>
      </c>
      <c r="F208" s="49" t="s">
        <v>1125</v>
      </c>
    </row>
    <row r="209" spans="1:6" ht="31.2" customHeight="1" x14ac:dyDescent="0.3">
      <c r="A209" s="31" t="s">
        <v>453</v>
      </c>
      <c r="B209" s="67" t="s">
        <v>452</v>
      </c>
      <c r="C209" s="32" t="s">
        <v>984</v>
      </c>
      <c r="D209" s="32" t="s">
        <v>403</v>
      </c>
      <c r="E209" s="33" t="s">
        <v>720</v>
      </c>
      <c r="F209" s="34" t="s">
        <v>1126</v>
      </c>
    </row>
    <row r="210" spans="1:6" ht="31.2" customHeight="1" x14ac:dyDescent="0.3">
      <c r="A210" s="28"/>
      <c r="B210" s="49"/>
      <c r="C210" s="17" t="s">
        <v>1127</v>
      </c>
      <c r="D210" s="17" t="s">
        <v>448</v>
      </c>
      <c r="E210" s="15" t="s">
        <v>720</v>
      </c>
      <c r="F210" s="49" t="s">
        <v>1128</v>
      </c>
    </row>
    <row r="211" spans="1:6" ht="31.2" customHeight="1" x14ac:dyDescent="0.3">
      <c r="A211" s="28"/>
      <c r="B211" s="49"/>
      <c r="C211" s="17" t="s">
        <v>1129</v>
      </c>
      <c r="D211" s="17" t="s">
        <v>764</v>
      </c>
      <c r="E211" s="15" t="s">
        <v>751</v>
      </c>
      <c r="F211" s="49" t="s">
        <v>1130</v>
      </c>
    </row>
    <row r="212" spans="1:6" ht="31.2" customHeight="1" x14ac:dyDescent="0.3">
      <c r="A212" s="31" t="s">
        <v>1131</v>
      </c>
      <c r="B212" s="67" t="s">
        <v>618</v>
      </c>
      <c r="C212" s="32" t="s">
        <v>813</v>
      </c>
      <c r="D212" s="32" t="s">
        <v>364</v>
      </c>
      <c r="E212" s="33" t="s">
        <v>720</v>
      </c>
      <c r="F212" s="34" t="s">
        <v>1132</v>
      </c>
    </row>
    <row r="213" spans="1:6" ht="15" customHeight="1" x14ac:dyDescent="0.3">
      <c r="A213" s="28"/>
      <c r="B213" s="49"/>
      <c r="C213" s="17" t="s">
        <v>1111</v>
      </c>
      <c r="D213" s="17" t="s">
        <v>1112</v>
      </c>
      <c r="E213" s="15" t="s">
        <v>720</v>
      </c>
      <c r="F213" s="49" t="s">
        <v>1133</v>
      </c>
    </row>
    <row r="214" spans="1:6" ht="31.2" customHeight="1" x14ac:dyDescent="0.3">
      <c r="A214" s="28"/>
      <c r="B214" s="49"/>
      <c r="C214" s="17" t="s">
        <v>1134</v>
      </c>
      <c r="D214" s="17" t="s">
        <v>383</v>
      </c>
      <c r="E214" s="15" t="s">
        <v>720</v>
      </c>
      <c r="F214" s="49" t="s">
        <v>1135</v>
      </c>
    </row>
    <row r="215" spans="1:6" ht="31.2" customHeight="1" x14ac:dyDescent="0.3">
      <c r="A215" s="28"/>
      <c r="B215" s="49"/>
      <c r="C215" s="17" t="s">
        <v>1136</v>
      </c>
      <c r="D215" s="17" t="s">
        <v>383</v>
      </c>
      <c r="E215" s="15" t="s">
        <v>720</v>
      </c>
      <c r="F215" s="49" t="s">
        <v>1137</v>
      </c>
    </row>
    <row r="216" spans="1:6" ht="15" customHeight="1" x14ac:dyDescent="0.3">
      <c r="A216" s="31" t="s">
        <v>1138</v>
      </c>
      <c r="B216" s="67" t="s">
        <v>680</v>
      </c>
      <c r="C216" s="32" t="s">
        <v>806</v>
      </c>
      <c r="D216" s="32" t="s">
        <v>364</v>
      </c>
      <c r="E216" s="33" t="s">
        <v>720</v>
      </c>
      <c r="F216" s="34" t="s">
        <v>1139</v>
      </c>
    </row>
    <row r="217" spans="1:6" ht="15" customHeight="1" x14ac:dyDescent="0.3">
      <c r="A217" s="28"/>
      <c r="B217" s="49"/>
      <c r="C217" s="17" t="s">
        <v>1111</v>
      </c>
      <c r="D217" s="17" t="s">
        <v>1112</v>
      </c>
      <c r="E217" s="15" t="s">
        <v>720</v>
      </c>
      <c r="F217" s="49" t="s">
        <v>1140</v>
      </c>
    </row>
    <row r="218" spans="1:6" ht="15" customHeight="1" x14ac:dyDescent="0.3">
      <c r="A218" s="28"/>
      <c r="B218" s="49"/>
      <c r="C218" s="17" t="s">
        <v>1141</v>
      </c>
      <c r="D218" s="17" t="s">
        <v>364</v>
      </c>
      <c r="E218" s="15" t="s">
        <v>720</v>
      </c>
      <c r="F218" s="49" t="s">
        <v>1142</v>
      </c>
    </row>
    <row r="219" spans="1:6" ht="15" customHeight="1" x14ac:dyDescent="0.3">
      <c r="A219" s="28"/>
      <c r="B219" s="49"/>
      <c r="C219" s="17" t="s">
        <v>1143</v>
      </c>
      <c r="D219" s="17" t="s">
        <v>364</v>
      </c>
      <c r="E219" s="15" t="s">
        <v>720</v>
      </c>
      <c r="F219" s="49" t="s">
        <v>1144</v>
      </c>
    </row>
    <row r="220" spans="1:6" ht="15" customHeight="1" x14ac:dyDescent="0.3">
      <c r="A220" s="28"/>
      <c r="B220" s="49"/>
      <c r="C220" s="17" t="s">
        <v>1145</v>
      </c>
      <c r="D220" s="17" t="s">
        <v>364</v>
      </c>
      <c r="E220" s="15" t="s">
        <v>720</v>
      </c>
      <c r="F220" s="49" t="s">
        <v>1146</v>
      </c>
    </row>
    <row r="221" spans="1:6" ht="31.2" customHeight="1" x14ac:dyDescent="0.3">
      <c r="A221" s="28"/>
      <c r="B221" s="49"/>
      <c r="C221" s="17" t="s">
        <v>1065</v>
      </c>
      <c r="D221" s="17" t="s">
        <v>764</v>
      </c>
      <c r="E221" s="15" t="s">
        <v>751</v>
      </c>
      <c r="F221" s="49" t="s">
        <v>1147</v>
      </c>
    </row>
    <row r="222" spans="1:6" ht="15" customHeight="1" x14ac:dyDescent="0.3">
      <c r="A222" s="31" t="s">
        <v>1148</v>
      </c>
      <c r="B222" s="67" t="s">
        <v>1149</v>
      </c>
      <c r="C222" s="32" t="s">
        <v>813</v>
      </c>
      <c r="D222" s="32" t="s">
        <v>364</v>
      </c>
      <c r="E222" s="33" t="s">
        <v>720</v>
      </c>
      <c r="F222" s="34" t="s">
        <v>1150</v>
      </c>
    </row>
    <row r="223" spans="1:6" ht="31.2" customHeight="1" x14ac:dyDescent="0.3">
      <c r="A223" s="28"/>
      <c r="B223" s="49"/>
      <c r="C223" s="17" t="s">
        <v>1151</v>
      </c>
      <c r="D223" s="17" t="s">
        <v>448</v>
      </c>
      <c r="E223" s="15" t="s">
        <v>720</v>
      </c>
      <c r="F223" s="49" t="s">
        <v>1152</v>
      </c>
    </row>
    <row r="224" spans="1:6" ht="15" customHeight="1" x14ac:dyDescent="0.3">
      <c r="A224" s="28"/>
      <c r="B224" s="49"/>
      <c r="C224" s="17" t="s">
        <v>1153</v>
      </c>
      <c r="D224" s="17" t="s">
        <v>448</v>
      </c>
      <c r="E224" s="15" t="s">
        <v>720</v>
      </c>
      <c r="F224" s="49" t="s">
        <v>1154</v>
      </c>
    </row>
    <row r="225" spans="1:6" ht="15" customHeight="1" x14ac:dyDescent="0.3">
      <c r="A225" s="28"/>
      <c r="B225" s="49"/>
      <c r="C225" s="17" t="s">
        <v>1155</v>
      </c>
      <c r="D225" s="17" t="s">
        <v>1048</v>
      </c>
      <c r="E225" s="15" t="s">
        <v>720</v>
      </c>
      <c r="F225" s="49" t="s">
        <v>1156</v>
      </c>
    </row>
    <row r="226" spans="1:6" ht="31.2" customHeight="1" x14ac:dyDescent="0.3">
      <c r="A226" s="28"/>
      <c r="B226" s="49"/>
      <c r="C226" s="17" t="s">
        <v>1157</v>
      </c>
      <c r="D226" s="17" t="s">
        <v>1048</v>
      </c>
      <c r="E226" s="15" t="s">
        <v>720</v>
      </c>
      <c r="F226" s="49" t="s">
        <v>1158</v>
      </c>
    </row>
    <row r="227" spans="1:6" ht="31.2" customHeight="1" x14ac:dyDescent="0.3">
      <c r="A227" s="28"/>
      <c r="B227" s="49"/>
      <c r="C227" s="17" t="s">
        <v>1159</v>
      </c>
      <c r="D227" s="17" t="s">
        <v>1160</v>
      </c>
      <c r="E227" s="15" t="s">
        <v>720</v>
      </c>
      <c r="F227" s="49" t="s">
        <v>1161</v>
      </c>
    </row>
    <row r="228" spans="1:6" ht="15" customHeight="1" x14ac:dyDescent="0.3">
      <c r="A228" s="31" t="s">
        <v>1162</v>
      </c>
      <c r="B228" s="67" t="s">
        <v>551</v>
      </c>
      <c r="C228" s="32" t="s">
        <v>742</v>
      </c>
      <c r="D228" s="32" t="s">
        <v>1163</v>
      </c>
      <c r="E228" s="33" t="s">
        <v>720</v>
      </c>
      <c r="F228" s="34"/>
    </row>
    <row r="229" spans="1:6" ht="15" customHeight="1" x14ac:dyDescent="0.3">
      <c r="A229" s="28"/>
      <c r="B229" s="49"/>
      <c r="C229" s="17" t="s">
        <v>1164</v>
      </c>
      <c r="D229" s="17" t="s">
        <v>364</v>
      </c>
      <c r="E229" s="15" t="s">
        <v>720</v>
      </c>
      <c r="F229" s="49" t="s">
        <v>1165</v>
      </c>
    </row>
    <row r="230" spans="1:6" ht="15" customHeight="1" x14ac:dyDescent="0.3">
      <c r="A230" s="28"/>
      <c r="B230" s="49"/>
      <c r="C230" s="17" t="s">
        <v>1166</v>
      </c>
      <c r="D230" s="17" t="s">
        <v>383</v>
      </c>
      <c r="E230" s="15" t="s">
        <v>720</v>
      </c>
      <c r="F230" s="49" t="s">
        <v>1167</v>
      </c>
    </row>
    <row r="231" spans="1:6" ht="15" customHeight="1" x14ac:dyDescent="0.3">
      <c r="A231" s="31" t="s">
        <v>581</v>
      </c>
      <c r="B231" s="67" t="s">
        <v>580</v>
      </c>
      <c r="C231" s="32" t="s">
        <v>984</v>
      </c>
      <c r="D231" s="32" t="s">
        <v>403</v>
      </c>
      <c r="E231" s="33" t="s">
        <v>720</v>
      </c>
      <c r="F231" s="34"/>
    </row>
    <row r="232" spans="1:6" ht="15" customHeight="1" x14ac:dyDescent="0.3">
      <c r="A232" s="28"/>
      <c r="B232" s="49"/>
      <c r="C232" s="17" t="s">
        <v>1168</v>
      </c>
      <c r="D232" s="17" t="s">
        <v>448</v>
      </c>
      <c r="E232" s="15" t="s">
        <v>720</v>
      </c>
      <c r="F232" s="49" t="s">
        <v>1169</v>
      </c>
    </row>
    <row r="233" spans="1:6" ht="15" customHeight="1" x14ac:dyDescent="0.3">
      <c r="A233" s="28"/>
      <c r="B233" s="49"/>
      <c r="C233" s="17" t="s">
        <v>1170</v>
      </c>
      <c r="D233" s="17" t="s">
        <v>448</v>
      </c>
      <c r="E233" s="15" t="s">
        <v>720</v>
      </c>
      <c r="F233" s="49" t="s">
        <v>1171</v>
      </c>
    </row>
    <row r="234" spans="1:6" ht="31.2" customHeight="1" x14ac:dyDescent="0.3">
      <c r="A234" s="28"/>
      <c r="B234" s="49"/>
      <c r="C234" s="17" t="s">
        <v>1172</v>
      </c>
      <c r="D234" s="17" t="s">
        <v>448</v>
      </c>
      <c r="E234" s="15" t="s">
        <v>720</v>
      </c>
      <c r="F234" s="49" t="s">
        <v>1173</v>
      </c>
    </row>
    <row r="235" spans="1:6" ht="15" customHeight="1" x14ac:dyDescent="0.3">
      <c r="A235" s="31" t="s">
        <v>548</v>
      </c>
      <c r="B235" s="67" t="s">
        <v>547</v>
      </c>
      <c r="C235" s="32" t="s">
        <v>1174</v>
      </c>
      <c r="D235" s="32" t="s">
        <v>1175</v>
      </c>
      <c r="E235" s="33" t="s">
        <v>720</v>
      </c>
      <c r="F235" s="34" t="s">
        <v>1176</v>
      </c>
    </row>
    <row r="236" spans="1:6" ht="15" customHeight="1" x14ac:dyDescent="0.3">
      <c r="A236" s="28"/>
      <c r="B236" s="49"/>
      <c r="C236" s="17" t="s">
        <v>1177</v>
      </c>
      <c r="D236" s="17" t="s">
        <v>1178</v>
      </c>
      <c r="E236" s="15" t="s">
        <v>720</v>
      </c>
      <c r="F236" s="49"/>
    </row>
    <row r="237" spans="1:6" ht="15" customHeight="1" x14ac:dyDescent="0.3">
      <c r="A237" s="28"/>
      <c r="B237" s="49"/>
      <c r="C237" s="17" t="s">
        <v>1179</v>
      </c>
      <c r="D237" s="17" t="s">
        <v>777</v>
      </c>
      <c r="E237" s="15" t="s">
        <v>751</v>
      </c>
      <c r="F237" s="49"/>
    </row>
    <row r="238" spans="1:6" ht="15" customHeight="1" x14ac:dyDescent="0.3">
      <c r="A238" s="28"/>
      <c r="B238" s="49"/>
      <c r="C238" s="17" t="s">
        <v>1180</v>
      </c>
      <c r="D238" s="17" t="s">
        <v>448</v>
      </c>
      <c r="E238" s="15" t="s">
        <v>720</v>
      </c>
      <c r="F238" s="49"/>
    </row>
    <row r="239" spans="1:6" ht="31.2" customHeight="1" x14ac:dyDescent="0.3">
      <c r="A239" s="31" t="s">
        <v>1181</v>
      </c>
      <c r="B239" s="67" t="s">
        <v>1182</v>
      </c>
      <c r="C239" s="32" t="s">
        <v>1183</v>
      </c>
      <c r="D239" s="32" t="s">
        <v>448</v>
      </c>
      <c r="E239" s="33" t="s">
        <v>720</v>
      </c>
      <c r="F239" s="34" t="s">
        <v>1184</v>
      </c>
    </row>
    <row r="240" spans="1:6" ht="31.2" customHeight="1" x14ac:dyDescent="0.3">
      <c r="A240" s="28"/>
      <c r="B240" s="49"/>
      <c r="C240" s="17" t="s">
        <v>1185</v>
      </c>
      <c r="D240" s="17" t="s">
        <v>448</v>
      </c>
      <c r="E240" s="15" t="s">
        <v>720</v>
      </c>
      <c r="F240" s="49" t="s">
        <v>1184</v>
      </c>
    </row>
    <row r="241" spans="1:6" ht="31.2" customHeight="1" x14ac:dyDescent="0.3">
      <c r="A241" s="28"/>
      <c r="B241" s="49"/>
      <c r="C241" s="17" t="s">
        <v>1186</v>
      </c>
      <c r="D241" s="17" t="s">
        <v>448</v>
      </c>
      <c r="E241" s="15" t="s">
        <v>720</v>
      </c>
      <c r="F241" s="49" t="s">
        <v>1184</v>
      </c>
    </row>
    <row r="242" spans="1:6" ht="31.2" customHeight="1" x14ac:dyDescent="0.3">
      <c r="A242" s="28"/>
      <c r="B242" s="49"/>
      <c r="C242" s="17" t="s">
        <v>1187</v>
      </c>
      <c r="D242" s="17" t="s">
        <v>403</v>
      </c>
      <c r="E242" s="15" t="s">
        <v>720</v>
      </c>
      <c r="F242" s="49" t="s">
        <v>1184</v>
      </c>
    </row>
    <row r="243" spans="1:6" ht="31.2" customHeight="1" x14ac:dyDescent="0.3">
      <c r="A243" s="31" t="s">
        <v>1188</v>
      </c>
      <c r="B243" s="67" t="s">
        <v>1189</v>
      </c>
      <c r="C243" s="32" t="s">
        <v>729</v>
      </c>
      <c r="D243" s="32" t="s">
        <v>1190</v>
      </c>
      <c r="E243" s="33" t="s">
        <v>720</v>
      </c>
      <c r="F243" s="34" t="s">
        <v>1191</v>
      </c>
    </row>
    <row r="244" spans="1:6" ht="15" customHeight="1" x14ac:dyDescent="0.3">
      <c r="A244" s="28"/>
      <c r="B244" s="49"/>
      <c r="C244" s="17" t="s">
        <v>1192</v>
      </c>
      <c r="D244" s="17" t="s">
        <v>364</v>
      </c>
      <c r="E244" s="15" t="s">
        <v>720</v>
      </c>
      <c r="F244" s="49" t="s">
        <v>1191</v>
      </c>
    </row>
    <row r="245" spans="1:6" ht="15" customHeight="1" x14ac:dyDescent="0.3">
      <c r="A245" s="28"/>
      <c r="B245" s="49"/>
      <c r="C245" s="17" t="s">
        <v>735</v>
      </c>
      <c r="D245" s="17" t="s">
        <v>32</v>
      </c>
      <c r="E245" s="15" t="s">
        <v>720</v>
      </c>
      <c r="F245" s="49" t="s">
        <v>1191</v>
      </c>
    </row>
    <row r="246" spans="1:6" ht="31.2" customHeight="1" x14ac:dyDescent="0.3">
      <c r="A246" s="31" t="s">
        <v>1193</v>
      </c>
      <c r="B246" s="67" t="s">
        <v>1194</v>
      </c>
      <c r="C246" s="32" t="s">
        <v>763</v>
      </c>
      <c r="D246" s="32" t="s">
        <v>364</v>
      </c>
      <c r="E246" s="33" t="s">
        <v>720</v>
      </c>
      <c r="F246" s="34" t="s">
        <v>1195</v>
      </c>
    </row>
    <row r="247" spans="1:6" ht="15" customHeight="1" x14ac:dyDescent="0.3">
      <c r="A247" s="28"/>
      <c r="B247" s="49"/>
      <c r="C247" s="17" t="s">
        <v>1196</v>
      </c>
      <c r="D247" s="17" t="s">
        <v>364</v>
      </c>
      <c r="E247" s="15" t="s">
        <v>720</v>
      </c>
      <c r="F247" s="49" t="s">
        <v>1197</v>
      </c>
    </row>
    <row r="248" spans="1:6" ht="15" customHeight="1" x14ac:dyDescent="0.3">
      <c r="A248" s="28"/>
      <c r="B248" s="49"/>
      <c r="C248" s="17" t="s">
        <v>1198</v>
      </c>
      <c r="D248" s="17" t="s">
        <v>30</v>
      </c>
      <c r="E248" s="15" t="s">
        <v>720</v>
      </c>
      <c r="F248" s="49" t="s">
        <v>1199</v>
      </c>
    </row>
    <row r="249" spans="1:6" ht="15" customHeight="1" x14ac:dyDescent="0.3">
      <c r="A249" s="28"/>
      <c r="B249" s="49"/>
      <c r="C249" s="17" t="s">
        <v>963</v>
      </c>
      <c r="D249" s="17" t="s">
        <v>383</v>
      </c>
      <c r="E249" s="15" t="s">
        <v>720</v>
      </c>
      <c r="F249" s="49" t="s">
        <v>1200</v>
      </c>
    </row>
    <row r="250" spans="1:6" ht="31.2" customHeight="1" x14ac:dyDescent="0.3">
      <c r="A250" s="28"/>
      <c r="B250" s="49"/>
      <c r="C250" s="17" t="s">
        <v>1201</v>
      </c>
      <c r="D250" s="17" t="s">
        <v>40</v>
      </c>
      <c r="E250" s="15" t="s">
        <v>720</v>
      </c>
      <c r="F250" s="49" t="s">
        <v>1202</v>
      </c>
    </row>
    <row r="251" spans="1:6" ht="15" customHeight="1" x14ac:dyDescent="0.3">
      <c r="A251" s="28"/>
      <c r="B251" s="49"/>
      <c r="C251" s="17" t="s">
        <v>1203</v>
      </c>
      <c r="D251" s="17" t="s">
        <v>383</v>
      </c>
      <c r="E251" s="15" t="s">
        <v>720</v>
      </c>
      <c r="F251" s="49" t="s">
        <v>1204</v>
      </c>
    </row>
    <row r="252" spans="1:6" ht="15" customHeight="1" x14ac:dyDescent="0.3">
      <c r="A252" s="28"/>
      <c r="B252" s="49"/>
      <c r="C252" s="17" t="s">
        <v>1205</v>
      </c>
      <c r="D252" s="17" t="s">
        <v>1206</v>
      </c>
      <c r="E252" s="15" t="s">
        <v>720</v>
      </c>
      <c r="F252" s="49" t="s">
        <v>1207</v>
      </c>
    </row>
    <row r="253" spans="1:6" ht="15" customHeight="1" x14ac:dyDescent="0.3">
      <c r="A253" s="28"/>
      <c r="B253" s="49"/>
      <c r="C253" s="17" t="s">
        <v>1208</v>
      </c>
      <c r="D253" s="17" t="s">
        <v>364</v>
      </c>
      <c r="E253" s="15" t="s">
        <v>720</v>
      </c>
      <c r="F253" s="49" t="s">
        <v>1209</v>
      </c>
    </row>
    <row r="254" spans="1:6" ht="31.2" customHeight="1" x14ac:dyDescent="0.3">
      <c r="A254" s="28"/>
      <c r="B254" s="49"/>
      <c r="C254" s="17" t="s">
        <v>1210</v>
      </c>
      <c r="D254" s="17" t="s">
        <v>364</v>
      </c>
      <c r="E254" s="15" t="s">
        <v>720</v>
      </c>
      <c r="F254" s="49" t="s">
        <v>1211</v>
      </c>
    </row>
    <row r="255" spans="1:6" ht="31.2" customHeight="1" x14ac:dyDescent="0.3">
      <c r="A255" s="28"/>
      <c r="B255" s="49"/>
      <c r="C255" s="17" t="s">
        <v>1212</v>
      </c>
      <c r="D255" s="17" t="s">
        <v>364</v>
      </c>
      <c r="E255" s="15" t="s">
        <v>720</v>
      </c>
      <c r="F255" s="49" t="s">
        <v>1213</v>
      </c>
    </row>
    <row r="256" spans="1:6" ht="15" customHeight="1" x14ac:dyDescent="0.3">
      <c r="A256" s="31" t="s">
        <v>1214</v>
      </c>
      <c r="B256" s="67" t="s">
        <v>1215</v>
      </c>
      <c r="C256" s="32" t="s">
        <v>1216</v>
      </c>
      <c r="D256" s="32" t="s">
        <v>1217</v>
      </c>
      <c r="E256" s="33" t="s">
        <v>720</v>
      </c>
      <c r="F256" s="34" t="s">
        <v>1218</v>
      </c>
    </row>
    <row r="257" spans="1:6" ht="15" customHeight="1" x14ac:dyDescent="0.3">
      <c r="A257" s="28"/>
      <c r="B257" s="49"/>
      <c r="C257" s="17" t="s">
        <v>1219</v>
      </c>
      <c r="D257" s="17" t="s">
        <v>364</v>
      </c>
      <c r="E257" s="15" t="s">
        <v>720</v>
      </c>
      <c r="F257" s="49"/>
    </row>
    <row r="258" spans="1:6" ht="14.25" customHeight="1" x14ac:dyDescent="0.3">
      <c r="A258" s="28"/>
      <c r="B258" s="49"/>
      <c r="C258" s="17" t="s">
        <v>1220</v>
      </c>
      <c r="D258" s="17" t="s">
        <v>364</v>
      </c>
      <c r="E258" s="15" t="s">
        <v>720</v>
      </c>
      <c r="F258" s="49" t="s">
        <v>1221</v>
      </c>
    </row>
    <row r="259" spans="1:6" ht="15" customHeight="1" x14ac:dyDescent="0.3">
      <c r="A259" s="28"/>
      <c r="B259" s="49"/>
      <c r="C259" s="17" t="s">
        <v>1222</v>
      </c>
      <c r="D259" s="17" t="s">
        <v>448</v>
      </c>
      <c r="E259" s="15" t="s">
        <v>720</v>
      </c>
      <c r="F259" s="49" t="s">
        <v>1223</v>
      </c>
    </row>
    <row r="260" spans="1:6" ht="29.25" customHeight="1" x14ac:dyDescent="0.3">
      <c r="A260" s="28"/>
      <c r="B260" s="49"/>
      <c r="C260" s="17" t="s">
        <v>1224</v>
      </c>
      <c r="D260" s="17" t="s">
        <v>383</v>
      </c>
      <c r="E260" s="15" t="s">
        <v>720</v>
      </c>
      <c r="F260" s="49"/>
    </row>
    <row r="261" spans="1:6" ht="15" customHeight="1" x14ac:dyDescent="0.3">
      <c r="A261" s="31" t="s">
        <v>466</v>
      </c>
      <c r="B261" s="67" t="s">
        <v>465</v>
      </c>
      <c r="C261" s="32" t="s">
        <v>1225</v>
      </c>
      <c r="D261" s="32" t="s">
        <v>364</v>
      </c>
      <c r="E261" s="33" t="s">
        <v>720</v>
      </c>
      <c r="F261" s="34" t="s">
        <v>1226</v>
      </c>
    </row>
    <row r="262" spans="1:6" ht="46.8" customHeight="1" x14ac:dyDescent="0.3">
      <c r="A262" s="28"/>
      <c r="B262" s="49"/>
      <c r="C262" s="17" t="s">
        <v>974</v>
      </c>
      <c r="D262" s="17" t="s">
        <v>448</v>
      </c>
      <c r="E262" s="15" t="s">
        <v>720</v>
      </c>
      <c r="F262" s="49" t="s">
        <v>1227</v>
      </c>
    </row>
    <row r="263" spans="1:6" ht="15" customHeight="1" x14ac:dyDescent="0.3">
      <c r="A263" s="28"/>
      <c r="B263" s="49"/>
      <c r="C263" s="17" t="s">
        <v>1228</v>
      </c>
      <c r="D263" s="17" t="s">
        <v>448</v>
      </c>
      <c r="E263" s="15" t="s">
        <v>720</v>
      </c>
      <c r="F263" s="49" t="s">
        <v>1229</v>
      </c>
    </row>
    <row r="264" spans="1:6" ht="15" customHeight="1" x14ac:dyDescent="0.3">
      <c r="A264" s="28"/>
      <c r="B264" s="49"/>
      <c r="C264" s="17" t="s">
        <v>1230</v>
      </c>
      <c r="D264" s="17" t="s">
        <v>448</v>
      </c>
      <c r="E264" s="15" t="s">
        <v>720</v>
      </c>
      <c r="F264" s="49" t="s">
        <v>1231</v>
      </c>
    </row>
    <row r="265" spans="1:6" ht="15" customHeight="1" x14ac:dyDescent="0.3">
      <c r="A265" s="28"/>
      <c r="B265" s="49"/>
      <c r="C265" s="17" t="s">
        <v>1179</v>
      </c>
      <c r="D265" s="17" t="s">
        <v>777</v>
      </c>
      <c r="E265" s="15" t="s">
        <v>751</v>
      </c>
      <c r="F265" s="49" t="s">
        <v>1232</v>
      </c>
    </row>
    <row r="266" spans="1:6" ht="14.25" customHeight="1" x14ac:dyDescent="0.3">
      <c r="A266" s="28"/>
      <c r="B266" s="49"/>
      <c r="C266" s="17" t="s">
        <v>546</v>
      </c>
      <c r="D266" s="17" t="s">
        <v>548</v>
      </c>
      <c r="E266" s="15" t="s">
        <v>720</v>
      </c>
      <c r="F266" s="49" t="s">
        <v>1233</v>
      </c>
    </row>
    <row r="267" spans="1:6" ht="15" customHeight="1" x14ac:dyDescent="0.3">
      <c r="A267" s="28"/>
      <c r="B267" s="49"/>
      <c r="C267" s="17" t="s">
        <v>1234</v>
      </c>
      <c r="D267" s="17" t="s">
        <v>403</v>
      </c>
      <c r="E267" s="15" t="s">
        <v>720</v>
      </c>
      <c r="F267" s="49" t="s">
        <v>1235</v>
      </c>
    </row>
    <row r="268" spans="1:6" ht="31.2" customHeight="1" x14ac:dyDescent="0.3">
      <c r="A268" s="31" t="s">
        <v>1236</v>
      </c>
      <c r="B268" s="67" t="s">
        <v>488</v>
      </c>
      <c r="C268" s="32" t="s">
        <v>1045</v>
      </c>
      <c r="D268" s="32" t="s">
        <v>364</v>
      </c>
      <c r="E268" s="33" t="s">
        <v>720</v>
      </c>
      <c r="F268" s="34" t="s">
        <v>1237</v>
      </c>
    </row>
    <row r="269" spans="1:6" ht="15" customHeight="1" x14ac:dyDescent="0.3">
      <c r="A269" s="28"/>
      <c r="B269" s="49"/>
      <c r="C269" s="17" t="s">
        <v>876</v>
      </c>
      <c r="D269" s="17" t="s">
        <v>364</v>
      </c>
      <c r="E269" s="15" t="s">
        <v>720</v>
      </c>
      <c r="F269" s="49" t="s">
        <v>1238</v>
      </c>
    </row>
    <row r="270" spans="1:6" ht="15" customHeight="1" x14ac:dyDescent="0.3">
      <c r="A270" s="28"/>
      <c r="B270" s="49"/>
      <c r="C270" s="17" t="s">
        <v>1239</v>
      </c>
      <c r="D270" s="17" t="s">
        <v>1048</v>
      </c>
      <c r="E270" s="15" t="s">
        <v>720</v>
      </c>
      <c r="F270" s="49" t="s">
        <v>1240</v>
      </c>
    </row>
    <row r="271" spans="1:6" ht="14.25" customHeight="1" x14ac:dyDescent="0.3">
      <c r="A271" s="28"/>
      <c r="B271" s="49"/>
      <c r="C271" s="17" t="s">
        <v>1241</v>
      </c>
      <c r="D271" s="17" t="s">
        <v>364</v>
      </c>
      <c r="E271" s="15" t="s">
        <v>720</v>
      </c>
      <c r="F271" s="49" t="s">
        <v>1242</v>
      </c>
    </row>
    <row r="272" spans="1:6" ht="15" customHeight="1" x14ac:dyDescent="0.3">
      <c r="A272" s="31" t="s">
        <v>493</v>
      </c>
      <c r="B272" s="67" t="s">
        <v>492</v>
      </c>
      <c r="C272" s="32" t="s">
        <v>1243</v>
      </c>
      <c r="D272" s="32" t="s">
        <v>364</v>
      </c>
      <c r="E272" s="33" t="s">
        <v>720</v>
      </c>
      <c r="F272" s="34" t="s">
        <v>1244</v>
      </c>
    </row>
    <row r="273" spans="1:6" ht="15" customHeight="1" x14ac:dyDescent="0.3">
      <c r="A273" s="28"/>
      <c r="B273" s="49"/>
      <c r="C273" s="17" t="s">
        <v>1245</v>
      </c>
      <c r="D273" s="17" t="s">
        <v>364</v>
      </c>
      <c r="E273" s="15" t="s">
        <v>720</v>
      </c>
      <c r="F273" s="49" t="s">
        <v>1246</v>
      </c>
    </row>
    <row r="274" spans="1:6" ht="15" customHeight="1" x14ac:dyDescent="0.3">
      <c r="A274" s="28"/>
      <c r="B274" s="49"/>
      <c r="C274" s="17" t="s">
        <v>505</v>
      </c>
      <c r="D274" s="17" t="s">
        <v>1247</v>
      </c>
      <c r="E274" s="15" t="s">
        <v>720</v>
      </c>
      <c r="F274" s="49" t="s">
        <v>1248</v>
      </c>
    </row>
    <row r="275" spans="1:6" ht="15" customHeight="1" x14ac:dyDescent="0.3">
      <c r="A275" s="31" t="s">
        <v>1249</v>
      </c>
      <c r="B275" s="67" t="s">
        <v>1250</v>
      </c>
      <c r="C275" s="32" t="s">
        <v>1045</v>
      </c>
      <c r="D275" s="32" t="s">
        <v>364</v>
      </c>
      <c r="E275" s="33" t="s">
        <v>720</v>
      </c>
      <c r="F275" s="34" t="s">
        <v>1251</v>
      </c>
    </row>
    <row r="276" spans="1:6" ht="14.25" customHeight="1" x14ac:dyDescent="0.3">
      <c r="A276" s="28"/>
      <c r="B276" s="49"/>
      <c r="C276" s="17" t="s">
        <v>1252</v>
      </c>
      <c r="D276" s="17" t="s">
        <v>448</v>
      </c>
      <c r="E276" s="15" t="s">
        <v>720</v>
      </c>
      <c r="F276" s="49" t="s">
        <v>1253</v>
      </c>
    </row>
    <row r="277" spans="1:6" ht="15" customHeight="1" x14ac:dyDescent="0.3">
      <c r="A277" s="28"/>
      <c r="B277" s="49"/>
      <c r="C277" s="17" t="s">
        <v>1254</v>
      </c>
      <c r="D277" s="17" t="s">
        <v>1255</v>
      </c>
      <c r="E277" s="15" t="s">
        <v>720</v>
      </c>
      <c r="F277" s="49" t="s">
        <v>1256</v>
      </c>
    </row>
    <row r="278" spans="1:6" ht="15" customHeight="1" x14ac:dyDescent="0.3">
      <c r="A278" s="28"/>
      <c r="B278" s="49"/>
      <c r="C278" s="17" t="s">
        <v>1257</v>
      </c>
      <c r="D278" s="17" t="s">
        <v>403</v>
      </c>
      <c r="E278" s="15" t="s">
        <v>720</v>
      </c>
      <c r="F278" s="49" t="s">
        <v>1258</v>
      </c>
    </row>
    <row r="279" spans="1:6" ht="14.25" customHeight="1" x14ac:dyDescent="0.3">
      <c r="A279" s="31" t="s">
        <v>444</v>
      </c>
      <c r="B279" s="67" t="s">
        <v>443</v>
      </c>
      <c r="C279" s="32" t="s">
        <v>1259</v>
      </c>
      <c r="D279" s="32" t="s">
        <v>364</v>
      </c>
      <c r="E279" s="33" t="s">
        <v>720</v>
      </c>
      <c r="F279" s="34"/>
    </row>
    <row r="280" spans="1:6" ht="15" customHeight="1" x14ac:dyDescent="0.3">
      <c r="A280" s="28"/>
      <c r="B280" s="49"/>
      <c r="C280" s="17" t="s">
        <v>878</v>
      </c>
      <c r="D280" s="17" t="s">
        <v>364</v>
      </c>
      <c r="E280" s="15" t="s">
        <v>720</v>
      </c>
      <c r="F280" s="49"/>
    </row>
    <row r="281" spans="1:6" ht="29.25" customHeight="1" x14ac:dyDescent="0.3">
      <c r="A281" s="28"/>
      <c r="B281" s="49"/>
      <c r="C281" s="17" t="s">
        <v>446</v>
      </c>
      <c r="D281" s="17" t="s">
        <v>448</v>
      </c>
      <c r="E281" s="15" t="s">
        <v>720</v>
      </c>
      <c r="F281" s="49" t="s">
        <v>1260</v>
      </c>
    </row>
    <row r="282" spans="1:6" ht="15" customHeight="1" x14ac:dyDescent="0.3">
      <c r="A282" s="28"/>
      <c r="B282" s="49"/>
      <c r="C282" s="17" t="s">
        <v>1261</v>
      </c>
      <c r="D282" s="17" t="s">
        <v>364</v>
      </c>
      <c r="E282" s="15" t="s">
        <v>720</v>
      </c>
      <c r="F282" s="49"/>
    </row>
    <row r="283" spans="1:6" ht="15" customHeight="1" x14ac:dyDescent="0.3">
      <c r="A283" s="28"/>
      <c r="B283" s="49"/>
      <c r="C283" s="17" t="s">
        <v>1262</v>
      </c>
      <c r="D283" s="17" t="s">
        <v>448</v>
      </c>
      <c r="E283" s="15" t="s">
        <v>720</v>
      </c>
      <c r="F283" s="49"/>
    </row>
    <row r="284" spans="1:6" ht="15" customHeight="1" x14ac:dyDescent="0.3">
      <c r="A284" s="31" t="s">
        <v>458</v>
      </c>
      <c r="B284" s="67" t="s">
        <v>457</v>
      </c>
      <c r="C284" s="32" t="s">
        <v>1263</v>
      </c>
      <c r="D284" s="32" t="s">
        <v>364</v>
      </c>
      <c r="E284" s="33" t="s">
        <v>720</v>
      </c>
      <c r="F284" s="34"/>
    </row>
    <row r="285" spans="1:6" ht="15" customHeight="1" x14ac:dyDescent="0.3">
      <c r="A285" s="28"/>
      <c r="B285" s="49"/>
      <c r="C285" s="17" t="s">
        <v>1264</v>
      </c>
      <c r="D285" s="17" t="s">
        <v>1265</v>
      </c>
      <c r="E285" s="15" t="s">
        <v>720</v>
      </c>
      <c r="F285" s="49" t="s">
        <v>1266</v>
      </c>
    </row>
    <row r="286" spans="1:6" ht="14.25" customHeight="1" x14ac:dyDescent="0.3">
      <c r="A286" s="28"/>
      <c r="B286" s="49"/>
      <c r="C286" s="17" t="s">
        <v>1267</v>
      </c>
      <c r="D286" s="17" t="s">
        <v>448</v>
      </c>
      <c r="E286" s="15" t="s">
        <v>720</v>
      </c>
      <c r="F286" s="49"/>
    </row>
    <row r="287" spans="1:6" ht="15" customHeight="1" x14ac:dyDescent="0.3">
      <c r="A287" s="28"/>
      <c r="B287" s="49"/>
      <c r="C287" s="17" t="s">
        <v>1268</v>
      </c>
      <c r="D287" s="17" t="s">
        <v>364</v>
      </c>
      <c r="E287" s="15" t="s">
        <v>720</v>
      </c>
      <c r="F287" s="49"/>
    </row>
    <row r="288" spans="1:6" ht="14.25" customHeight="1" x14ac:dyDescent="0.3">
      <c r="A288" s="31" t="s">
        <v>1269</v>
      </c>
      <c r="B288" s="67" t="s">
        <v>1270</v>
      </c>
      <c r="C288" s="32" t="s">
        <v>1141</v>
      </c>
      <c r="D288" s="32" t="s">
        <v>364</v>
      </c>
      <c r="E288" s="33" t="s">
        <v>720</v>
      </c>
      <c r="F288" s="34"/>
    </row>
    <row r="289" spans="1:6" ht="15" customHeight="1" x14ac:dyDescent="0.3">
      <c r="A289" s="28"/>
      <c r="B289" s="49"/>
      <c r="C289" s="17" t="s">
        <v>1164</v>
      </c>
      <c r="D289" s="17" t="s">
        <v>1048</v>
      </c>
      <c r="E289" s="15" t="s">
        <v>720</v>
      </c>
      <c r="F289" s="49" t="s">
        <v>1271</v>
      </c>
    </row>
    <row r="290" spans="1:6" ht="15" customHeight="1" x14ac:dyDescent="0.3">
      <c r="A290" s="28"/>
      <c r="B290" s="49"/>
      <c r="C290" s="17" t="s">
        <v>1102</v>
      </c>
      <c r="D290" s="17" t="s">
        <v>364</v>
      </c>
      <c r="E290" s="15" t="s">
        <v>720</v>
      </c>
      <c r="F290" s="49" t="s">
        <v>1272</v>
      </c>
    </row>
    <row r="291" spans="1:6" ht="15" customHeight="1" x14ac:dyDescent="0.3">
      <c r="A291" s="28"/>
      <c r="B291" s="49"/>
      <c r="C291" s="17" t="s">
        <v>1216</v>
      </c>
      <c r="D291" s="17" t="s">
        <v>364</v>
      </c>
      <c r="E291" s="15" t="s">
        <v>720</v>
      </c>
      <c r="F291" s="49" t="s">
        <v>1273</v>
      </c>
    </row>
    <row r="292" spans="1:6" ht="15" customHeight="1" x14ac:dyDescent="0.3">
      <c r="A292" s="28"/>
      <c r="B292" s="49"/>
      <c r="C292" s="17" t="s">
        <v>1274</v>
      </c>
      <c r="D292" s="17" t="s">
        <v>764</v>
      </c>
      <c r="E292" s="15" t="s">
        <v>751</v>
      </c>
      <c r="F292" s="49"/>
    </row>
    <row r="293" spans="1:6" ht="14.25" customHeight="1" x14ac:dyDescent="0.3">
      <c r="A293" s="28"/>
      <c r="B293" s="49"/>
      <c r="C293" s="17" t="s">
        <v>1275</v>
      </c>
      <c r="D293" s="17" t="s">
        <v>364</v>
      </c>
      <c r="E293" s="15" t="s">
        <v>720</v>
      </c>
      <c r="F293" s="49" t="s">
        <v>1276</v>
      </c>
    </row>
    <row r="294" spans="1:6" ht="14.25" customHeight="1" x14ac:dyDescent="0.3">
      <c r="A294" s="31" t="s">
        <v>1277</v>
      </c>
      <c r="B294" s="67" t="s">
        <v>1278</v>
      </c>
      <c r="C294" s="32" t="s">
        <v>1279</v>
      </c>
      <c r="D294" s="32" t="s">
        <v>364</v>
      </c>
      <c r="E294" s="33" t="s">
        <v>720</v>
      </c>
      <c r="F294" s="34"/>
    </row>
    <row r="295" spans="1:6" ht="15" customHeight="1" x14ac:dyDescent="0.3">
      <c r="A295" s="28"/>
      <c r="B295" s="49"/>
      <c r="C295" s="17" t="s">
        <v>742</v>
      </c>
      <c r="D295" s="17" t="s">
        <v>1280</v>
      </c>
      <c r="E295" s="15" t="s">
        <v>720</v>
      </c>
      <c r="F295" s="49"/>
    </row>
    <row r="296" spans="1:6" ht="14.25" customHeight="1" x14ac:dyDescent="0.3">
      <c r="A296" s="28"/>
      <c r="B296" s="49"/>
      <c r="C296" s="17" t="s">
        <v>950</v>
      </c>
      <c r="D296" s="17" t="s">
        <v>364</v>
      </c>
      <c r="E296" s="15" t="s">
        <v>720</v>
      </c>
      <c r="F296" s="49"/>
    </row>
    <row r="297" spans="1:6" ht="15" customHeight="1" x14ac:dyDescent="0.3">
      <c r="A297" s="28"/>
      <c r="B297" s="49"/>
      <c r="C297" s="17" t="s">
        <v>1281</v>
      </c>
      <c r="D297" s="17" t="s">
        <v>1282</v>
      </c>
      <c r="E297" s="15" t="s">
        <v>720</v>
      </c>
      <c r="F297" s="49" t="s">
        <v>1283</v>
      </c>
    </row>
    <row r="298" spans="1:6" ht="15" customHeight="1" x14ac:dyDescent="0.3">
      <c r="A298" s="28"/>
      <c r="B298" s="49"/>
      <c r="C298" s="17" t="s">
        <v>1284</v>
      </c>
      <c r="D298" s="17" t="s">
        <v>1255</v>
      </c>
      <c r="E298" s="15" t="s">
        <v>720</v>
      </c>
      <c r="F298" s="49" t="s">
        <v>1285</v>
      </c>
    </row>
    <row r="299" spans="1:6" ht="15" customHeight="1" x14ac:dyDescent="0.3">
      <c r="A299" s="28"/>
      <c r="B299" s="49"/>
      <c r="C299" s="17" t="s">
        <v>1286</v>
      </c>
      <c r="D299" s="17" t="s">
        <v>364</v>
      </c>
      <c r="E299" s="15" t="s">
        <v>720</v>
      </c>
      <c r="F299" s="49" t="s">
        <v>1287</v>
      </c>
    </row>
    <row r="300" spans="1:6" ht="15" customHeight="1" x14ac:dyDescent="0.3">
      <c r="A300" s="28"/>
      <c r="B300" s="49"/>
      <c r="C300" s="17" t="s">
        <v>1036</v>
      </c>
      <c r="D300" s="17" t="s">
        <v>764</v>
      </c>
      <c r="E300" s="15" t="s">
        <v>751</v>
      </c>
      <c r="F300" s="49"/>
    </row>
    <row r="301" spans="1:6" ht="14.25" customHeight="1" x14ac:dyDescent="0.3">
      <c r="A301" s="31" t="s">
        <v>1288</v>
      </c>
      <c r="B301" s="67" t="s">
        <v>1289</v>
      </c>
      <c r="C301" s="32" t="s">
        <v>1290</v>
      </c>
      <c r="D301" s="32" t="s">
        <v>364</v>
      </c>
      <c r="E301" s="33" t="s">
        <v>720</v>
      </c>
      <c r="F301" s="34"/>
    </row>
    <row r="302" spans="1:6" ht="15" customHeight="1" x14ac:dyDescent="0.3">
      <c r="A302" s="28"/>
      <c r="B302" s="49"/>
      <c r="C302" s="17" t="s">
        <v>950</v>
      </c>
      <c r="D302" s="17" t="s">
        <v>364</v>
      </c>
      <c r="E302" s="15" t="s">
        <v>720</v>
      </c>
      <c r="F302" s="49"/>
    </row>
    <row r="303" spans="1:6" ht="15" customHeight="1" x14ac:dyDescent="0.3">
      <c r="A303" s="28"/>
      <c r="B303" s="49"/>
      <c r="C303" s="17" t="s">
        <v>1291</v>
      </c>
      <c r="D303" s="17" t="s">
        <v>448</v>
      </c>
      <c r="E303" s="15" t="s">
        <v>720</v>
      </c>
      <c r="F303" s="49"/>
    </row>
    <row r="304" spans="1:6" ht="14.25" customHeight="1" x14ac:dyDescent="0.3">
      <c r="A304" s="28"/>
      <c r="B304" s="49"/>
      <c r="C304" s="17" t="s">
        <v>1292</v>
      </c>
      <c r="D304" s="17" t="s">
        <v>1293</v>
      </c>
      <c r="E304" s="15" t="s">
        <v>720</v>
      </c>
      <c r="F304" s="49" t="s">
        <v>1294</v>
      </c>
    </row>
    <row r="305" spans="1:6" ht="15" customHeight="1" x14ac:dyDescent="0.3">
      <c r="A305" s="28"/>
      <c r="B305" s="49"/>
      <c r="C305" s="17" t="s">
        <v>1286</v>
      </c>
      <c r="D305" s="17" t="s">
        <v>364</v>
      </c>
      <c r="E305" s="15" t="s">
        <v>720</v>
      </c>
      <c r="F305" s="49"/>
    </row>
    <row r="306" spans="1:6" ht="29.25" customHeight="1" x14ac:dyDescent="0.3">
      <c r="A306" s="31" t="s">
        <v>532</v>
      </c>
      <c r="B306" s="67" t="s">
        <v>531</v>
      </c>
      <c r="C306" s="32" t="s">
        <v>1041</v>
      </c>
      <c r="D306" s="32" t="s">
        <v>1295</v>
      </c>
      <c r="E306" s="33" t="s">
        <v>720</v>
      </c>
      <c r="F306" s="34" t="s">
        <v>1296</v>
      </c>
    </row>
    <row r="307" spans="1:6" ht="15" customHeight="1" x14ac:dyDescent="0.3">
      <c r="A307" s="28"/>
      <c r="B307" s="49"/>
      <c r="C307" s="17" t="s">
        <v>535</v>
      </c>
      <c r="D307" s="17" t="s">
        <v>537</v>
      </c>
      <c r="E307" s="15" t="s">
        <v>720</v>
      </c>
      <c r="F307" s="49" t="s">
        <v>1297</v>
      </c>
    </row>
    <row r="308" spans="1:6" ht="15" customHeight="1" x14ac:dyDescent="0.3">
      <c r="A308" s="28"/>
      <c r="B308" s="49"/>
      <c r="C308" s="17" t="s">
        <v>540</v>
      </c>
      <c r="D308" s="17" t="s">
        <v>542</v>
      </c>
      <c r="E308" s="15" t="s">
        <v>720</v>
      </c>
      <c r="F308" s="49" t="s">
        <v>1298</v>
      </c>
    </row>
    <row r="309" spans="1:6" ht="15" customHeight="1" x14ac:dyDescent="0.3">
      <c r="A309" s="31" t="s">
        <v>1299</v>
      </c>
      <c r="B309" s="67" t="s">
        <v>554</v>
      </c>
      <c r="C309" s="32" t="s">
        <v>1021</v>
      </c>
      <c r="D309" s="32" t="s">
        <v>364</v>
      </c>
      <c r="E309" s="33" t="s">
        <v>720</v>
      </c>
      <c r="F309" s="34"/>
    </row>
    <row r="310" spans="1:6" ht="15" customHeight="1" x14ac:dyDescent="0.3">
      <c r="A310" s="28"/>
      <c r="B310" s="49"/>
      <c r="C310" s="17" t="s">
        <v>1300</v>
      </c>
      <c r="D310" s="17" t="s">
        <v>1301</v>
      </c>
      <c r="E310" s="15" t="s">
        <v>720</v>
      </c>
      <c r="F310" s="49"/>
    </row>
    <row r="311" spans="1:6" ht="14.25" customHeight="1" x14ac:dyDescent="0.3">
      <c r="A311" s="28"/>
      <c r="B311" s="49"/>
      <c r="C311" s="17" t="s">
        <v>1065</v>
      </c>
      <c r="D311" s="17" t="s">
        <v>364</v>
      </c>
      <c r="E311" s="15" t="s">
        <v>720</v>
      </c>
      <c r="F311" s="49" t="s">
        <v>1302</v>
      </c>
    </row>
    <row r="312" spans="1:6" ht="15" customHeight="1" x14ac:dyDescent="0.3">
      <c r="A312" s="31" t="s">
        <v>703</v>
      </c>
      <c r="B312" s="67" t="s">
        <v>702</v>
      </c>
      <c r="C312" s="32" t="s">
        <v>1303</v>
      </c>
      <c r="D312" s="32" t="s">
        <v>383</v>
      </c>
      <c r="E312" s="33" t="s">
        <v>720</v>
      </c>
      <c r="F312" s="34"/>
    </row>
    <row r="313" spans="1:6" ht="14.25" customHeight="1" x14ac:dyDescent="0.3">
      <c r="A313" s="28"/>
      <c r="B313" s="49"/>
      <c r="C313" s="17" t="s">
        <v>1304</v>
      </c>
      <c r="D313" s="17" t="s">
        <v>383</v>
      </c>
      <c r="E313" s="15" t="s">
        <v>720</v>
      </c>
      <c r="F313" s="49"/>
    </row>
    <row r="314" spans="1:6" ht="29.25" customHeight="1" x14ac:dyDescent="0.3">
      <c r="A314" s="28"/>
      <c r="B314" s="49"/>
      <c r="C314" s="17" t="s">
        <v>1305</v>
      </c>
      <c r="D314" s="17" t="s">
        <v>448</v>
      </c>
      <c r="E314" s="15" t="s">
        <v>720</v>
      </c>
      <c r="F314" s="49" t="s">
        <v>1306</v>
      </c>
    </row>
    <row r="315" spans="1:6" ht="46.8" customHeight="1" x14ac:dyDescent="0.3">
      <c r="A315" s="28"/>
      <c r="B315" s="49"/>
      <c r="C315" s="17" t="s">
        <v>1307</v>
      </c>
      <c r="D315" s="17" t="s">
        <v>448</v>
      </c>
      <c r="E315" s="15" t="s">
        <v>720</v>
      </c>
      <c r="F315" s="49" t="s">
        <v>1308</v>
      </c>
    </row>
    <row r="316" spans="1:6" ht="31.2" customHeight="1" x14ac:dyDescent="0.3">
      <c r="A316" s="28"/>
      <c r="B316" s="49"/>
      <c r="C316" s="17" t="s">
        <v>1309</v>
      </c>
      <c r="D316" s="17" t="s">
        <v>448</v>
      </c>
      <c r="E316" s="15" t="s">
        <v>720</v>
      </c>
      <c r="F316" s="49" t="s">
        <v>1310</v>
      </c>
    </row>
    <row r="317" spans="1:6" ht="15.6" customHeight="1" x14ac:dyDescent="0.3">
      <c r="A317" s="28"/>
      <c r="B317" s="49"/>
      <c r="C317" s="17" t="s">
        <v>1311</v>
      </c>
      <c r="D317" s="17" t="s">
        <v>40</v>
      </c>
      <c r="E317" s="15" t="s">
        <v>720</v>
      </c>
      <c r="F317" s="49" t="s">
        <v>1312</v>
      </c>
    </row>
    <row r="318" spans="1:6" ht="29.25" customHeight="1" x14ac:dyDescent="0.3">
      <c r="A318" s="28"/>
      <c r="B318" s="49"/>
      <c r="C318" s="17" t="s">
        <v>1313</v>
      </c>
      <c r="D318" s="17" t="s">
        <v>364</v>
      </c>
      <c r="E318" s="15" t="s">
        <v>720</v>
      </c>
      <c r="F318" s="49" t="s">
        <v>1314</v>
      </c>
    </row>
    <row r="319" spans="1:6" ht="43.5" customHeight="1" x14ac:dyDescent="0.3">
      <c r="A319" s="31" t="s">
        <v>707</v>
      </c>
      <c r="B319" s="67" t="s">
        <v>706</v>
      </c>
      <c r="C319" s="32" t="s">
        <v>1315</v>
      </c>
      <c r="D319" s="32" t="s">
        <v>364</v>
      </c>
      <c r="E319" s="33" t="s">
        <v>720</v>
      </c>
      <c r="F319" s="34" t="s">
        <v>471</v>
      </c>
    </row>
    <row r="320" spans="1:6" ht="29.25" customHeight="1" x14ac:dyDescent="0.3">
      <c r="A320" s="28"/>
      <c r="B320" s="49"/>
      <c r="C320" s="17" t="s">
        <v>1316</v>
      </c>
      <c r="D320" s="17" t="s">
        <v>364</v>
      </c>
      <c r="E320" s="15" t="s">
        <v>720</v>
      </c>
      <c r="F320" s="49" t="s">
        <v>514</v>
      </c>
    </row>
    <row r="321" spans="1:6" ht="14.25" customHeight="1" x14ac:dyDescent="0.3">
      <c r="A321" s="28"/>
      <c r="B321" s="49"/>
      <c r="C321" s="17" t="s">
        <v>1317</v>
      </c>
      <c r="D321" s="17" t="s">
        <v>364</v>
      </c>
      <c r="E321" s="15" t="s">
        <v>720</v>
      </c>
      <c r="F321" s="49"/>
    </row>
    <row r="322" spans="1:6" ht="15.6" customHeight="1" x14ac:dyDescent="0.3">
      <c r="A322" s="28"/>
      <c r="B322" s="49"/>
      <c r="C322" s="17" t="s">
        <v>636</v>
      </c>
      <c r="D322" s="17" t="s">
        <v>638</v>
      </c>
      <c r="E322" s="15" t="s">
        <v>720</v>
      </c>
      <c r="F322" s="49" t="s">
        <v>1318</v>
      </c>
    </row>
    <row r="323" spans="1:6" ht="14.25" customHeight="1" x14ac:dyDescent="0.3">
      <c r="A323" s="28"/>
      <c r="B323" s="49"/>
      <c r="C323" s="17" t="s">
        <v>701</v>
      </c>
      <c r="D323" s="17" t="s">
        <v>703</v>
      </c>
      <c r="E323" s="15" t="s">
        <v>720</v>
      </c>
      <c r="F323" s="49"/>
    </row>
    <row r="324" spans="1:6" ht="29.85" customHeight="1" x14ac:dyDescent="0.3">
      <c r="A324" s="28"/>
      <c r="B324" s="49"/>
      <c r="C324" s="17" t="s">
        <v>1319</v>
      </c>
      <c r="D324" s="17" t="s">
        <v>364</v>
      </c>
      <c r="E324" s="15" t="s">
        <v>720</v>
      </c>
      <c r="F324" s="49" t="s">
        <v>1320</v>
      </c>
    </row>
    <row r="325" spans="1:6" ht="15.6" customHeight="1" x14ac:dyDescent="0.3">
      <c r="A325" s="28"/>
      <c r="B325" s="49"/>
      <c r="C325" s="17" t="s">
        <v>1321</v>
      </c>
      <c r="D325" s="17" t="s">
        <v>364</v>
      </c>
      <c r="E325" s="15" t="s">
        <v>720</v>
      </c>
      <c r="F325" s="49" t="s">
        <v>1322</v>
      </c>
    </row>
    <row r="326" spans="1:6" ht="43.95" customHeight="1" x14ac:dyDescent="0.3">
      <c r="A326" s="28"/>
      <c r="B326" s="49"/>
      <c r="C326" s="17" t="s">
        <v>1323</v>
      </c>
      <c r="D326" s="17" t="s">
        <v>364</v>
      </c>
      <c r="E326" s="15" t="s">
        <v>720</v>
      </c>
      <c r="F326" s="49" t="s">
        <v>1324</v>
      </c>
    </row>
    <row r="327" spans="1:6" ht="46.8" customHeight="1" x14ac:dyDescent="0.3">
      <c r="A327" s="28"/>
      <c r="B327" s="49"/>
      <c r="C327" s="17" t="s">
        <v>1325</v>
      </c>
      <c r="D327" s="17" t="s">
        <v>364</v>
      </c>
      <c r="E327" s="15" t="s">
        <v>720</v>
      </c>
      <c r="F327" s="49" t="s">
        <v>1326</v>
      </c>
    </row>
  </sheetData>
  <phoneticPr fontId="17" type="noConversion"/>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2"/>
  <sheetViews>
    <sheetView zoomScaleNormal="100" workbookViewId="0">
      <pane xSplit="2" ySplit="1" topLeftCell="C2" activePane="bottomRight" state="frozen"/>
      <selection pane="topRight" activeCell="C1" sqref="C1"/>
      <selection pane="bottomLeft" activeCell="A2" sqref="A2"/>
      <selection pane="bottomRight" activeCell="A11" sqref="A11"/>
    </sheetView>
  </sheetViews>
  <sheetFormatPr defaultColWidth="8.6640625" defaultRowHeight="14.4" x14ac:dyDescent="0.3"/>
  <cols>
    <col min="1" max="1" width="7" style="1" customWidth="1"/>
    <col min="2" max="2" width="30" style="1" customWidth="1"/>
    <col min="3" max="3" width="24" style="1" customWidth="1"/>
    <col min="4" max="4" width="14" style="1" customWidth="1"/>
    <col min="5" max="6" width="32" style="1" customWidth="1"/>
    <col min="7" max="8" width="80" style="1" customWidth="1"/>
    <col min="9" max="9" width="14" style="1" customWidth="1"/>
    <col min="10" max="14" width="8.6640625" style="1" customWidth="1"/>
    <col min="15" max="16384" width="8.6640625" style="1"/>
  </cols>
  <sheetData>
    <row r="1" spans="1:9" ht="15" customHeight="1" x14ac:dyDescent="0.3">
      <c r="A1" s="10" t="s">
        <v>1327</v>
      </c>
      <c r="B1" s="48" t="s">
        <v>1328</v>
      </c>
      <c r="C1" s="48" t="s">
        <v>1329</v>
      </c>
      <c r="D1" s="48" t="s">
        <v>1330</v>
      </c>
      <c r="E1" s="10" t="s">
        <v>139</v>
      </c>
      <c r="F1" s="10" t="s">
        <v>140</v>
      </c>
      <c r="G1" s="10" t="s">
        <v>141</v>
      </c>
      <c r="H1" s="10" t="s">
        <v>142</v>
      </c>
      <c r="I1" s="48" t="s">
        <v>143</v>
      </c>
    </row>
    <row r="2" spans="1:9" ht="78" customHeight="1" x14ac:dyDescent="0.3">
      <c r="A2" s="35" t="s">
        <v>1331</v>
      </c>
      <c r="B2" s="49" t="s">
        <v>1332</v>
      </c>
      <c r="C2" s="49" t="s">
        <v>1333</v>
      </c>
      <c r="D2" s="51" t="s">
        <v>1334</v>
      </c>
      <c r="E2" s="17" t="s">
        <v>1335</v>
      </c>
      <c r="F2" s="17" t="s">
        <v>1336</v>
      </c>
      <c r="G2" s="49" t="s">
        <v>1337</v>
      </c>
      <c r="H2" s="49" t="s">
        <v>1338</v>
      </c>
      <c r="I2" s="14" t="s">
        <v>1339</v>
      </c>
    </row>
    <row r="3" spans="1:9" ht="78" customHeight="1" x14ac:dyDescent="0.3">
      <c r="A3" s="35" t="s">
        <v>1340</v>
      </c>
      <c r="B3" s="49" t="s">
        <v>1341</v>
      </c>
      <c r="C3" s="49" t="s">
        <v>1342</v>
      </c>
      <c r="D3" s="16" t="s">
        <v>272</v>
      </c>
      <c r="E3" s="17" t="s">
        <v>1343</v>
      </c>
      <c r="F3" s="17" t="s">
        <v>1344</v>
      </c>
      <c r="G3" s="49" t="s">
        <v>1345</v>
      </c>
      <c r="H3" s="14" t="s">
        <v>1346</v>
      </c>
      <c r="I3" s="14" t="s">
        <v>280</v>
      </c>
    </row>
    <row r="4" spans="1:9" ht="124.8" customHeight="1" x14ac:dyDescent="0.3">
      <c r="A4" s="35" t="s">
        <v>1347</v>
      </c>
      <c r="B4" s="49" t="s">
        <v>1348</v>
      </c>
      <c r="C4" s="49" t="s">
        <v>1349</v>
      </c>
      <c r="D4" s="16" t="s">
        <v>154</v>
      </c>
      <c r="E4" s="17" t="s">
        <v>1350</v>
      </c>
      <c r="F4" s="17" t="s">
        <v>1351</v>
      </c>
      <c r="G4" s="49" t="s">
        <v>1352</v>
      </c>
      <c r="H4" s="49" t="s">
        <v>1353</v>
      </c>
      <c r="I4" s="14" t="s">
        <v>1354</v>
      </c>
    </row>
    <row r="5" spans="1:9" ht="109.2" customHeight="1" x14ac:dyDescent="0.3">
      <c r="A5" s="35" t="s">
        <v>1355</v>
      </c>
      <c r="B5" s="49" t="s">
        <v>1356</v>
      </c>
      <c r="C5" s="49" t="s">
        <v>1357</v>
      </c>
      <c r="D5" s="21" t="s">
        <v>243</v>
      </c>
      <c r="E5" s="17" t="s">
        <v>1358</v>
      </c>
      <c r="F5" s="17" t="s">
        <v>1359</v>
      </c>
      <c r="G5" s="49" t="s">
        <v>1360</v>
      </c>
      <c r="H5" s="14" t="s">
        <v>1361</v>
      </c>
      <c r="I5" s="14" t="s">
        <v>1362</v>
      </c>
    </row>
    <row r="6" spans="1:9" ht="140.4" customHeight="1" x14ac:dyDescent="0.3">
      <c r="A6" s="35" t="s">
        <v>1363</v>
      </c>
      <c r="B6" s="49" t="s">
        <v>1364</v>
      </c>
      <c r="C6" s="49" t="s">
        <v>1365</v>
      </c>
      <c r="D6" s="23" t="s">
        <v>261</v>
      </c>
      <c r="E6" s="17" t="s">
        <v>1366</v>
      </c>
      <c r="F6" s="17" t="s">
        <v>1367</v>
      </c>
      <c r="G6" s="49" t="s">
        <v>1368</v>
      </c>
      <c r="H6" s="49" t="s">
        <v>1369</v>
      </c>
      <c r="I6" s="14" t="s">
        <v>1370</v>
      </c>
    </row>
    <row r="7" spans="1:9" ht="343.2" customHeight="1" x14ac:dyDescent="0.3">
      <c r="A7" s="35" t="s">
        <v>1371</v>
      </c>
      <c r="B7" s="14" t="s">
        <v>1372</v>
      </c>
      <c r="C7" s="49" t="s">
        <v>1373</v>
      </c>
      <c r="D7" s="16" t="s">
        <v>1374</v>
      </c>
      <c r="E7" s="17" t="s">
        <v>1375</v>
      </c>
      <c r="F7" s="17" t="s">
        <v>1376</v>
      </c>
      <c r="G7" s="14" t="s">
        <v>1377</v>
      </c>
      <c r="H7" s="49" t="s">
        <v>1378</v>
      </c>
      <c r="I7" s="14" t="s">
        <v>289</v>
      </c>
    </row>
    <row r="8" spans="1:9" ht="105.6" customHeight="1" x14ac:dyDescent="0.3">
      <c r="A8" s="35" t="s">
        <v>1379</v>
      </c>
      <c r="B8" s="49" t="s">
        <v>684</v>
      </c>
      <c r="C8" s="49" t="s">
        <v>1380</v>
      </c>
      <c r="D8" s="23" t="s">
        <v>300</v>
      </c>
      <c r="E8" s="17" t="s">
        <v>1381</v>
      </c>
      <c r="F8" s="17" t="s">
        <v>305</v>
      </c>
      <c r="G8" s="49" t="s">
        <v>1382</v>
      </c>
      <c r="H8" s="49" t="s">
        <v>1383</v>
      </c>
      <c r="I8" s="14" t="s">
        <v>308</v>
      </c>
    </row>
    <row r="9" spans="1:9" ht="78" customHeight="1" x14ac:dyDescent="0.3">
      <c r="A9" s="35" t="s">
        <v>1384</v>
      </c>
      <c r="B9" s="49" t="s">
        <v>1385</v>
      </c>
      <c r="C9" s="49" t="s">
        <v>1386</v>
      </c>
      <c r="D9" s="16" t="s">
        <v>145</v>
      </c>
      <c r="E9" s="17" t="s">
        <v>1387</v>
      </c>
      <c r="F9" s="17" t="s">
        <v>1388</v>
      </c>
      <c r="G9" s="49" t="s">
        <v>1389</v>
      </c>
      <c r="H9" s="49" t="s">
        <v>1390</v>
      </c>
      <c r="I9" s="14" t="s">
        <v>1391</v>
      </c>
    </row>
    <row r="10" spans="1:9" ht="358.8" customHeight="1" x14ac:dyDescent="0.3">
      <c r="A10" s="35" t="s">
        <v>1392</v>
      </c>
      <c r="B10" s="49" t="s">
        <v>1393</v>
      </c>
      <c r="C10" s="49" t="s">
        <v>1394</v>
      </c>
      <c r="D10" s="16" t="s">
        <v>1395</v>
      </c>
      <c r="E10" s="17" t="s">
        <v>1396</v>
      </c>
      <c r="F10" s="17" t="s">
        <v>1397</v>
      </c>
      <c r="G10" s="49" t="s">
        <v>1398</v>
      </c>
      <c r="H10" s="49" t="s">
        <v>1399</v>
      </c>
      <c r="I10" s="14" t="s">
        <v>1400</v>
      </c>
    </row>
    <row r="11" spans="1:9" ht="124.8" customHeight="1" x14ac:dyDescent="0.3">
      <c r="A11" s="35" t="s">
        <v>1401</v>
      </c>
      <c r="B11" s="49" t="s">
        <v>654</v>
      </c>
      <c r="C11" s="49" t="s">
        <v>1402</v>
      </c>
      <c r="D11" s="16" t="s">
        <v>317</v>
      </c>
      <c r="E11" s="17" t="s">
        <v>321</v>
      </c>
      <c r="F11" s="17" t="s">
        <v>322</v>
      </c>
      <c r="G11" s="49" t="s">
        <v>1403</v>
      </c>
      <c r="H11" s="49" t="s">
        <v>1404</v>
      </c>
      <c r="I11" s="14" t="s">
        <v>325</v>
      </c>
    </row>
    <row r="12" spans="1:9" ht="187.2" customHeight="1" x14ac:dyDescent="0.3">
      <c r="A12" s="35" t="s">
        <v>1405</v>
      </c>
      <c r="B12" s="49" t="s">
        <v>1406</v>
      </c>
      <c r="C12" s="49" t="s">
        <v>1407</v>
      </c>
      <c r="D12" s="16" t="s">
        <v>1408</v>
      </c>
      <c r="E12" s="17" t="s">
        <v>1409</v>
      </c>
      <c r="F12" s="17" t="s">
        <v>1410</v>
      </c>
      <c r="G12" s="49" t="s">
        <v>1411</v>
      </c>
      <c r="H12" s="49" t="s">
        <v>1412</v>
      </c>
      <c r="I12" s="14" t="s">
        <v>1413</v>
      </c>
    </row>
  </sheetData>
  <phoneticPr fontId="17" type="noConversion"/>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0"/>
  <sheetViews>
    <sheetView zoomScaleNormal="100" workbookViewId="0">
      <pane ySplit="1" topLeftCell="A2" activePane="bottomLeft" state="frozen"/>
      <selection pane="bottomLeft"/>
    </sheetView>
  </sheetViews>
  <sheetFormatPr defaultColWidth="8.6640625" defaultRowHeight="14.4" x14ac:dyDescent="0.3"/>
  <cols>
    <col min="1" max="1" width="20" style="1" customWidth="1"/>
    <col min="2" max="2" width="12" style="1" customWidth="1"/>
    <col min="3" max="3" width="34" style="1" customWidth="1"/>
    <col min="4" max="4" width="52" style="1" customWidth="1"/>
    <col min="5" max="5" width="56" style="1" customWidth="1"/>
    <col min="6" max="10" width="8.6640625" style="1" customWidth="1"/>
    <col min="11" max="16384" width="8.6640625" style="1"/>
  </cols>
  <sheetData>
    <row r="1" spans="1:5" ht="15" customHeight="1" x14ac:dyDescent="0.3">
      <c r="A1" s="48" t="s">
        <v>1414</v>
      </c>
      <c r="B1" s="48" t="s">
        <v>1415</v>
      </c>
      <c r="C1" s="48" t="s">
        <v>1416</v>
      </c>
      <c r="D1" s="48" t="s">
        <v>1072</v>
      </c>
      <c r="E1" s="48" t="s">
        <v>1417</v>
      </c>
    </row>
    <row r="2" spans="1:5" ht="29.25" customHeight="1" x14ac:dyDescent="0.3">
      <c r="A2" s="36" t="s">
        <v>1418</v>
      </c>
      <c r="B2" s="37" t="s">
        <v>145</v>
      </c>
      <c r="C2" s="49" t="s">
        <v>1419</v>
      </c>
      <c r="D2" s="49" t="s">
        <v>1420</v>
      </c>
      <c r="E2" s="49" t="s">
        <v>1421</v>
      </c>
    </row>
    <row r="3" spans="1:5" ht="31.2" customHeight="1" x14ac:dyDescent="0.3">
      <c r="A3" s="36" t="s">
        <v>1422</v>
      </c>
      <c r="B3" s="37" t="s">
        <v>145</v>
      </c>
      <c r="C3" s="49" t="s">
        <v>1423</v>
      </c>
      <c r="D3" s="49" t="s">
        <v>1424</v>
      </c>
      <c r="E3" s="49" t="s">
        <v>1425</v>
      </c>
    </row>
    <row r="4" spans="1:5" ht="31.2" customHeight="1" x14ac:dyDescent="0.3">
      <c r="A4" s="36" t="s">
        <v>1426</v>
      </c>
      <c r="B4" s="37" t="s">
        <v>145</v>
      </c>
      <c r="C4" s="14" t="s">
        <v>1427</v>
      </c>
      <c r="D4" s="49" t="s">
        <v>1428</v>
      </c>
      <c r="E4" s="49" t="s">
        <v>1429</v>
      </c>
    </row>
    <row r="5" spans="1:5" ht="29.25" customHeight="1" x14ac:dyDescent="0.3">
      <c r="A5" s="36" t="s">
        <v>1430</v>
      </c>
      <c r="B5" s="37" t="s">
        <v>154</v>
      </c>
      <c r="C5" s="49" t="s">
        <v>1431</v>
      </c>
      <c r="D5" s="49" t="s">
        <v>1432</v>
      </c>
      <c r="E5" s="49" t="s">
        <v>1433</v>
      </c>
    </row>
    <row r="6" spans="1:5" ht="31.2" customHeight="1" x14ac:dyDescent="0.3">
      <c r="A6" s="36" t="s">
        <v>1434</v>
      </c>
      <c r="B6" s="37" t="s">
        <v>154</v>
      </c>
      <c r="C6" s="49" t="s">
        <v>1435</v>
      </c>
      <c r="D6" s="49" t="s">
        <v>1436</v>
      </c>
      <c r="E6" s="49" t="s">
        <v>1437</v>
      </c>
    </row>
    <row r="7" spans="1:5" ht="78" customHeight="1" x14ac:dyDescent="0.3">
      <c r="A7" s="36" t="s">
        <v>1438</v>
      </c>
      <c r="B7" s="37" t="s">
        <v>154</v>
      </c>
      <c r="C7" s="49" t="s">
        <v>1439</v>
      </c>
      <c r="D7" s="49" t="s">
        <v>1440</v>
      </c>
      <c r="E7" s="49" t="s">
        <v>1441</v>
      </c>
    </row>
    <row r="8" spans="1:5" ht="46.8" customHeight="1" x14ac:dyDescent="0.3">
      <c r="A8" s="36" t="s">
        <v>1442</v>
      </c>
      <c r="B8" s="37" t="s">
        <v>272</v>
      </c>
      <c r="C8" s="49" t="s">
        <v>1443</v>
      </c>
      <c r="D8" s="49" t="s">
        <v>1444</v>
      </c>
      <c r="E8" s="49" t="s">
        <v>1445</v>
      </c>
    </row>
    <row r="9" spans="1:5" ht="29.25" customHeight="1" x14ac:dyDescent="0.3">
      <c r="A9" s="36" t="s">
        <v>1446</v>
      </c>
      <c r="B9" s="37" t="s">
        <v>272</v>
      </c>
      <c r="C9" s="14" t="s">
        <v>1447</v>
      </c>
      <c r="D9" s="49" t="s">
        <v>1448</v>
      </c>
      <c r="E9" s="14" t="s">
        <v>1449</v>
      </c>
    </row>
    <row r="10" spans="1:5" ht="31.2" customHeight="1" x14ac:dyDescent="0.3">
      <c r="A10" s="36" t="s">
        <v>1450</v>
      </c>
      <c r="B10" s="37" t="s">
        <v>272</v>
      </c>
      <c r="C10" s="49" t="s">
        <v>1451</v>
      </c>
      <c r="D10" s="49" t="s">
        <v>1452</v>
      </c>
      <c r="E10" s="49" t="s">
        <v>1453</v>
      </c>
    </row>
    <row r="11" spans="1:5" ht="29.25" customHeight="1" x14ac:dyDescent="0.3">
      <c r="A11" s="36" t="s">
        <v>1454</v>
      </c>
      <c r="B11" s="37" t="s">
        <v>145</v>
      </c>
      <c r="C11" s="49" t="s">
        <v>1455</v>
      </c>
      <c r="D11" s="49" t="s">
        <v>1456</v>
      </c>
      <c r="E11" s="22" t="s">
        <v>1457</v>
      </c>
    </row>
    <row r="12" spans="1:5" ht="29.25" customHeight="1" x14ac:dyDescent="0.3">
      <c r="A12" s="36" t="s">
        <v>1458</v>
      </c>
      <c r="B12" s="37" t="s">
        <v>145</v>
      </c>
      <c r="C12" s="49" t="s">
        <v>1459</v>
      </c>
      <c r="D12" s="49" t="s">
        <v>1460</v>
      </c>
      <c r="E12" s="22" t="s">
        <v>1461</v>
      </c>
    </row>
    <row r="13" spans="1:5" ht="46.8" customHeight="1" x14ac:dyDescent="0.3">
      <c r="A13" s="36" t="s">
        <v>1462</v>
      </c>
      <c r="B13" s="37" t="s">
        <v>163</v>
      </c>
      <c r="C13" s="49" t="s">
        <v>1463</v>
      </c>
      <c r="D13" s="14" t="s">
        <v>1464</v>
      </c>
      <c r="E13" s="14" t="s">
        <v>1465</v>
      </c>
    </row>
    <row r="14" spans="1:5" ht="31.2" customHeight="1" x14ac:dyDescent="0.3">
      <c r="A14" s="36" t="s">
        <v>1466</v>
      </c>
      <c r="B14" s="38" t="s">
        <v>225</v>
      </c>
      <c r="C14" s="49" t="s">
        <v>1467</v>
      </c>
      <c r="D14" s="14" t="s">
        <v>1464</v>
      </c>
      <c r="E14" s="49" t="s">
        <v>1468</v>
      </c>
    </row>
    <row r="15" spans="1:5" ht="31.2" customHeight="1" x14ac:dyDescent="0.3">
      <c r="A15" s="36" t="s">
        <v>1469</v>
      </c>
      <c r="B15" s="38" t="s">
        <v>225</v>
      </c>
      <c r="C15" s="49" t="s">
        <v>1470</v>
      </c>
      <c r="D15" s="14" t="s">
        <v>1464</v>
      </c>
      <c r="E15" s="49" t="s">
        <v>1471</v>
      </c>
    </row>
    <row r="16" spans="1:5" ht="15" customHeight="1" x14ac:dyDescent="0.3">
      <c r="A16" s="36" t="s">
        <v>1472</v>
      </c>
      <c r="B16" s="39" t="s">
        <v>216</v>
      </c>
      <c r="C16" s="14" t="s">
        <v>1473</v>
      </c>
      <c r="D16" s="14" t="s">
        <v>1464</v>
      </c>
      <c r="E16" s="49" t="s">
        <v>1474</v>
      </c>
    </row>
    <row r="17" spans="1:5" ht="15" customHeight="1" x14ac:dyDescent="0.3">
      <c r="A17" s="36" t="s">
        <v>1475</v>
      </c>
      <c r="B17" s="39" t="s">
        <v>216</v>
      </c>
      <c r="C17" s="49" t="s">
        <v>1476</v>
      </c>
      <c r="D17" s="14" t="s">
        <v>1464</v>
      </c>
      <c r="E17" s="14" t="s">
        <v>1477</v>
      </c>
    </row>
    <row r="18" spans="1:5" ht="15" customHeight="1" x14ac:dyDescent="0.3">
      <c r="A18" s="36" t="s">
        <v>1478</v>
      </c>
      <c r="B18" s="39" t="s">
        <v>243</v>
      </c>
      <c r="C18" s="14" t="s">
        <v>1479</v>
      </c>
      <c r="D18" s="14" t="s">
        <v>1464</v>
      </c>
      <c r="E18" s="49" t="s">
        <v>1480</v>
      </c>
    </row>
    <row r="19" spans="1:5" ht="46.8" customHeight="1" x14ac:dyDescent="0.3">
      <c r="A19" s="36" t="s">
        <v>1481</v>
      </c>
      <c r="B19" s="39" t="s">
        <v>243</v>
      </c>
      <c r="C19" s="14" t="s">
        <v>1482</v>
      </c>
      <c r="D19" s="14" t="s">
        <v>1464</v>
      </c>
      <c r="E19" s="49" t="s">
        <v>1483</v>
      </c>
    </row>
    <row r="20" spans="1:5" ht="15" customHeight="1" x14ac:dyDescent="0.3">
      <c r="A20" s="36" t="s">
        <v>1484</v>
      </c>
      <c r="B20" s="40" t="s">
        <v>261</v>
      </c>
      <c r="C20" s="49" t="s">
        <v>1485</v>
      </c>
      <c r="D20" s="14" t="s">
        <v>1464</v>
      </c>
      <c r="E20" s="14" t="s">
        <v>1486</v>
      </c>
    </row>
    <row r="21" spans="1:5" ht="29.25" customHeight="1" x14ac:dyDescent="0.3">
      <c r="A21" s="36" t="s">
        <v>1487</v>
      </c>
      <c r="B21" s="40" t="s">
        <v>261</v>
      </c>
      <c r="C21" s="49" t="s">
        <v>1488</v>
      </c>
      <c r="D21" s="14" t="s">
        <v>1464</v>
      </c>
      <c r="E21" s="49" t="s">
        <v>1489</v>
      </c>
    </row>
    <row r="22" spans="1:5" ht="46.8" customHeight="1" x14ac:dyDescent="0.3">
      <c r="A22" s="36" t="s">
        <v>1490</v>
      </c>
      <c r="B22" s="37" t="s">
        <v>1491</v>
      </c>
      <c r="C22" s="49" t="s">
        <v>1492</v>
      </c>
      <c r="D22" s="49" t="s">
        <v>1493</v>
      </c>
      <c r="E22" s="49" t="s">
        <v>1494</v>
      </c>
    </row>
    <row r="23" spans="1:5" ht="29.25" customHeight="1" x14ac:dyDescent="0.3">
      <c r="A23" s="36" t="s">
        <v>1495</v>
      </c>
      <c r="B23" s="58" t="s">
        <v>1496</v>
      </c>
      <c r="C23" s="49" t="s">
        <v>1497</v>
      </c>
      <c r="D23" s="49" t="s">
        <v>1498</v>
      </c>
      <c r="E23" s="22" t="s">
        <v>1499</v>
      </c>
    </row>
    <row r="24" spans="1:5" ht="31.2" customHeight="1" x14ac:dyDescent="0.3">
      <c r="A24" s="36" t="s">
        <v>1500</v>
      </c>
      <c r="B24" s="58" t="s">
        <v>1501</v>
      </c>
      <c r="C24" s="49" t="s">
        <v>1502</v>
      </c>
      <c r="D24" s="49" t="s">
        <v>1503</v>
      </c>
      <c r="E24" s="22" t="s">
        <v>1504</v>
      </c>
    </row>
    <row r="25" spans="1:5" ht="62.4" customHeight="1" x14ac:dyDescent="0.3">
      <c r="A25" s="36" t="s">
        <v>1505</v>
      </c>
      <c r="B25" s="37" t="s">
        <v>1392</v>
      </c>
      <c r="C25" s="49" t="s">
        <v>1506</v>
      </c>
      <c r="D25" s="49" t="s">
        <v>1507</v>
      </c>
      <c r="E25" s="22" t="s">
        <v>1508</v>
      </c>
    </row>
    <row r="26" spans="1:5" ht="78" customHeight="1" x14ac:dyDescent="0.3">
      <c r="A26" s="36" t="s">
        <v>1509</v>
      </c>
      <c r="B26" s="37" t="s">
        <v>309</v>
      </c>
      <c r="C26" s="49" t="s">
        <v>1510</v>
      </c>
      <c r="D26" s="49" t="s">
        <v>1511</v>
      </c>
      <c r="E26" s="22" t="s">
        <v>1512</v>
      </c>
    </row>
    <row r="27" spans="1:5" ht="62.4" customHeight="1" x14ac:dyDescent="0.3">
      <c r="A27" s="36" t="s">
        <v>1513</v>
      </c>
      <c r="B27" s="75" t="s">
        <v>1514</v>
      </c>
      <c r="C27" s="49" t="s">
        <v>1515</v>
      </c>
      <c r="D27" s="49" t="s">
        <v>1516</v>
      </c>
      <c r="E27" s="22" t="s">
        <v>1517</v>
      </c>
    </row>
    <row r="28" spans="1:5" ht="46.8" customHeight="1" x14ac:dyDescent="0.3">
      <c r="A28" s="36" t="s">
        <v>1518</v>
      </c>
      <c r="B28" s="75" t="s">
        <v>1519</v>
      </c>
      <c r="C28" s="49" t="s">
        <v>1520</v>
      </c>
      <c r="D28" s="49" t="s">
        <v>1521</v>
      </c>
      <c r="E28" s="22" t="s">
        <v>1522</v>
      </c>
    </row>
    <row r="29" spans="1:5" ht="29.25" customHeight="1" x14ac:dyDescent="0.3">
      <c r="A29" s="36" t="s">
        <v>1523</v>
      </c>
      <c r="B29" s="75" t="s">
        <v>1392</v>
      </c>
      <c r="C29" s="49" t="s">
        <v>1524</v>
      </c>
      <c r="D29" s="49" t="s">
        <v>1525</v>
      </c>
      <c r="E29" s="22" t="s">
        <v>1526</v>
      </c>
    </row>
    <row r="30" spans="1:5" ht="46.8" customHeight="1" x14ac:dyDescent="0.3">
      <c r="A30" s="36" t="s">
        <v>1527</v>
      </c>
      <c r="B30" s="76" t="s">
        <v>1528</v>
      </c>
      <c r="C30" s="49" t="s">
        <v>1529</v>
      </c>
      <c r="D30" s="49" t="s">
        <v>1530</v>
      </c>
      <c r="E30" s="22" t="s">
        <v>1531</v>
      </c>
    </row>
  </sheetData>
  <autoFilter ref="A1:E30" xr:uid="{00000000-0009-0000-0000-000005000000}"/>
  <phoneticPr fontId="17" type="noConversion"/>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9"/>
  <sheetViews>
    <sheetView zoomScaleNormal="100" workbookViewId="0">
      <selection activeCell="D7" sqref="D7"/>
    </sheetView>
  </sheetViews>
  <sheetFormatPr defaultColWidth="8.6640625" defaultRowHeight="14.4" x14ac:dyDescent="0.3"/>
  <cols>
    <col min="1" max="1" width="46" style="1" customWidth="1"/>
    <col min="2" max="3" width="18" style="1" customWidth="1"/>
    <col min="4" max="4" width="12" style="1" customWidth="1"/>
    <col min="5" max="5" width="58" style="1" customWidth="1"/>
    <col min="6" max="10" width="8.6640625" style="1" customWidth="1"/>
    <col min="11" max="16384" width="8.6640625" style="1"/>
  </cols>
  <sheetData>
    <row r="1" spans="1:5" ht="15" customHeight="1" x14ac:dyDescent="0.3">
      <c r="A1" s="48" t="s">
        <v>1532</v>
      </c>
      <c r="B1" s="48" t="s">
        <v>1533</v>
      </c>
      <c r="C1" s="48" t="s">
        <v>1534</v>
      </c>
      <c r="D1" s="48" t="s">
        <v>1535</v>
      </c>
      <c r="E1" s="48" t="s">
        <v>1536</v>
      </c>
    </row>
    <row r="2" spans="1:5" ht="62.4" customHeight="1" x14ac:dyDescent="0.3">
      <c r="A2" s="49" t="s">
        <v>1537</v>
      </c>
      <c r="B2" s="77" t="s">
        <v>1538</v>
      </c>
      <c r="C2" s="78" t="s">
        <v>1539</v>
      </c>
      <c r="D2" s="66" t="s">
        <v>1540</v>
      </c>
      <c r="E2" s="49" t="s">
        <v>1541</v>
      </c>
    </row>
    <row r="3" spans="1:5" ht="31.2" customHeight="1" x14ac:dyDescent="0.3">
      <c r="A3" s="49" t="s">
        <v>1542</v>
      </c>
      <c r="B3" s="77" t="s">
        <v>1543</v>
      </c>
      <c r="C3" s="79" t="s">
        <v>225</v>
      </c>
      <c r="D3" s="66" t="s">
        <v>1544</v>
      </c>
      <c r="E3" s="49" t="s">
        <v>1545</v>
      </c>
    </row>
    <row r="4" spans="1:5" ht="15.6" customHeight="1" x14ac:dyDescent="0.3">
      <c r="A4" s="49" t="s">
        <v>1546</v>
      </c>
      <c r="B4" s="77" t="s">
        <v>1543</v>
      </c>
      <c r="C4" s="79" t="s">
        <v>234</v>
      </c>
      <c r="D4" s="66" t="s">
        <v>526</v>
      </c>
      <c r="E4" s="49" t="s">
        <v>1547</v>
      </c>
    </row>
    <row r="5" spans="1:5" ht="15.6" customHeight="1" x14ac:dyDescent="0.3">
      <c r="A5" s="49" t="s">
        <v>1548</v>
      </c>
      <c r="B5" s="77" t="s">
        <v>1543</v>
      </c>
      <c r="C5" s="79" t="s">
        <v>225</v>
      </c>
      <c r="D5" s="66" t="s">
        <v>1544</v>
      </c>
      <c r="E5" s="49" t="s">
        <v>1547</v>
      </c>
    </row>
    <row r="6" spans="1:5" ht="15.6" customHeight="1" x14ac:dyDescent="0.3">
      <c r="A6" s="49" t="s">
        <v>1549</v>
      </c>
      <c r="B6" s="77" t="s">
        <v>1543</v>
      </c>
      <c r="C6" s="79" t="s">
        <v>225</v>
      </c>
      <c r="D6" s="66" t="s">
        <v>1544</v>
      </c>
      <c r="E6" s="49" t="s">
        <v>1550</v>
      </c>
    </row>
    <row r="7" spans="1:5" ht="15.6" customHeight="1" x14ac:dyDescent="0.3">
      <c r="A7" s="49" t="s">
        <v>1551</v>
      </c>
      <c r="B7" s="77" t="s">
        <v>1543</v>
      </c>
      <c r="C7" s="79" t="s">
        <v>234</v>
      </c>
      <c r="D7" s="66" t="s">
        <v>526</v>
      </c>
      <c r="E7" s="49" t="s">
        <v>1547</v>
      </c>
    </row>
    <row r="8" spans="1:5" ht="15.6" customHeight="1" x14ac:dyDescent="0.3">
      <c r="A8" s="49" t="s">
        <v>1552</v>
      </c>
      <c r="B8" s="77" t="s">
        <v>1543</v>
      </c>
      <c r="C8" s="79" t="s">
        <v>234</v>
      </c>
      <c r="D8" s="66" t="s">
        <v>526</v>
      </c>
      <c r="E8" s="49" t="s">
        <v>1550</v>
      </c>
    </row>
    <row r="9" spans="1:5" ht="31.2" customHeight="1" x14ac:dyDescent="0.3">
      <c r="A9" s="49" t="s">
        <v>1553</v>
      </c>
      <c r="B9" s="77" t="s">
        <v>1543</v>
      </c>
      <c r="C9" s="80" t="s">
        <v>317</v>
      </c>
      <c r="D9" s="66" t="s">
        <v>1554</v>
      </c>
      <c r="E9" s="49" t="s">
        <v>1555</v>
      </c>
    </row>
    <row r="10" spans="1:5" ht="15" customHeight="1" x14ac:dyDescent="0.4">
      <c r="A10" s="3"/>
      <c r="B10" s="3"/>
      <c r="C10" s="3"/>
      <c r="D10" s="3"/>
      <c r="E10" s="3"/>
    </row>
    <row r="11" spans="1:5" ht="15" customHeight="1" x14ac:dyDescent="0.3">
      <c r="A11" s="48" t="s">
        <v>1556</v>
      </c>
      <c r="B11" s="48" t="s">
        <v>1557</v>
      </c>
      <c r="C11" s="48" t="s">
        <v>1558</v>
      </c>
      <c r="D11" s="48" t="s">
        <v>1559</v>
      </c>
      <c r="E11" s="48" t="s">
        <v>1560</v>
      </c>
    </row>
    <row r="12" spans="1:5" ht="15.6" customHeight="1" x14ac:dyDescent="0.3">
      <c r="A12" s="49" t="s">
        <v>1561</v>
      </c>
      <c r="B12" s="81" t="s">
        <v>1562</v>
      </c>
      <c r="C12" s="82" t="s">
        <v>172</v>
      </c>
      <c r="D12" s="66" t="s">
        <v>144</v>
      </c>
      <c r="E12" s="49" t="s">
        <v>1563</v>
      </c>
    </row>
    <row r="13" spans="1:5" ht="15.6" customHeight="1" x14ac:dyDescent="0.3">
      <c r="A13" s="49" t="s">
        <v>1564</v>
      </c>
      <c r="B13" s="81" t="s">
        <v>1565</v>
      </c>
      <c r="C13" s="82" t="s">
        <v>181</v>
      </c>
      <c r="D13" s="66" t="s">
        <v>144</v>
      </c>
      <c r="E13" s="49" t="s">
        <v>1566</v>
      </c>
    </row>
    <row r="14" spans="1:5" ht="15.6" customHeight="1" x14ac:dyDescent="0.3">
      <c r="A14" s="49" t="s">
        <v>1567</v>
      </c>
      <c r="B14" s="76" t="s">
        <v>1568</v>
      </c>
      <c r="C14" s="78" t="s">
        <v>190</v>
      </c>
      <c r="D14" s="66" t="s">
        <v>1569</v>
      </c>
      <c r="E14" s="49" t="s">
        <v>1570</v>
      </c>
    </row>
    <row r="15" spans="1:5" ht="15.6" customHeight="1" x14ac:dyDescent="0.3">
      <c r="A15" s="49" t="s">
        <v>1571</v>
      </c>
      <c r="B15" s="76" t="s">
        <v>1568</v>
      </c>
      <c r="C15" s="78" t="s">
        <v>190</v>
      </c>
      <c r="D15" s="66" t="s">
        <v>1569</v>
      </c>
      <c r="E15" s="49" t="s">
        <v>1572</v>
      </c>
    </row>
    <row r="16" spans="1:5" ht="15.6" customHeight="1" x14ac:dyDescent="0.3">
      <c r="A16" s="49" t="s">
        <v>1573</v>
      </c>
      <c r="B16" s="76" t="s">
        <v>1574</v>
      </c>
      <c r="C16" s="78" t="s">
        <v>199</v>
      </c>
      <c r="D16" s="66" t="s">
        <v>1575</v>
      </c>
      <c r="E16" s="49" t="s">
        <v>1576</v>
      </c>
    </row>
    <row r="17" spans="1:5" ht="15.6" customHeight="1" x14ac:dyDescent="0.3">
      <c r="A17" s="49" t="s">
        <v>1577</v>
      </c>
      <c r="B17" s="76" t="s">
        <v>1578</v>
      </c>
      <c r="C17" s="78" t="s">
        <v>208</v>
      </c>
      <c r="D17" s="66" t="s">
        <v>1579</v>
      </c>
      <c r="E17" s="49" t="s">
        <v>1580</v>
      </c>
    </row>
    <row r="18" spans="1:5" ht="15.6" customHeight="1" x14ac:dyDescent="0.3">
      <c r="A18" s="49" t="s">
        <v>1581</v>
      </c>
      <c r="B18" s="83" t="s">
        <v>1582</v>
      </c>
      <c r="C18" s="79" t="s">
        <v>225</v>
      </c>
      <c r="D18" s="66" t="s">
        <v>144</v>
      </c>
      <c r="E18" s="49" t="s">
        <v>1583</v>
      </c>
    </row>
    <row r="19" spans="1:5" ht="15.6" customHeight="1" x14ac:dyDescent="0.3">
      <c r="A19" s="49" t="s">
        <v>1584</v>
      </c>
      <c r="B19" s="83" t="s">
        <v>1585</v>
      </c>
      <c r="C19" s="79" t="s">
        <v>234</v>
      </c>
      <c r="D19" s="66" t="s">
        <v>144</v>
      </c>
      <c r="E19" s="49" t="s">
        <v>1586</v>
      </c>
    </row>
    <row r="20" spans="1:5" ht="15.6" customHeight="1" x14ac:dyDescent="0.3">
      <c r="A20" s="49" t="s">
        <v>1587</v>
      </c>
      <c r="B20" s="84" t="s">
        <v>1588</v>
      </c>
      <c r="C20" s="85" t="s">
        <v>261</v>
      </c>
      <c r="D20" s="66" t="s">
        <v>1020</v>
      </c>
      <c r="E20" s="49" t="s">
        <v>1589</v>
      </c>
    </row>
    <row r="21" spans="1:5" ht="15" customHeight="1" x14ac:dyDescent="0.4">
      <c r="A21" s="3"/>
      <c r="B21" s="3"/>
      <c r="C21" s="3"/>
      <c r="D21" s="3"/>
      <c r="E21" s="3"/>
    </row>
    <row r="22" spans="1:5" ht="14.25" customHeight="1" x14ac:dyDescent="0.4">
      <c r="A22" s="68" t="s">
        <v>1590</v>
      </c>
      <c r="B22" s="3"/>
      <c r="C22" s="3"/>
      <c r="D22" s="3"/>
      <c r="E22" s="3"/>
    </row>
    <row r="23" spans="1:5" ht="14.25" customHeight="1" x14ac:dyDescent="0.4">
      <c r="A23" s="68" t="s">
        <v>1591</v>
      </c>
      <c r="B23" s="3"/>
      <c r="C23" s="3"/>
      <c r="D23" s="3"/>
      <c r="E23" s="3"/>
    </row>
    <row r="24" spans="1:5" ht="14.25" customHeight="1" x14ac:dyDescent="0.4">
      <c r="A24" s="68" t="s">
        <v>1592</v>
      </c>
      <c r="B24" s="3"/>
      <c r="C24" s="3"/>
      <c r="D24" s="3"/>
      <c r="E24" s="3"/>
    </row>
    <row r="25" spans="1:5" ht="14.25" customHeight="1" x14ac:dyDescent="0.4">
      <c r="A25" s="68" t="s">
        <v>1593</v>
      </c>
      <c r="B25" s="3"/>
      <c r="C25" s="3"/>
      <c r="D25" s="3"/>
      <c r="E25" s="3"/>
    </row>
    <row r="26" spans="1:5" ht="14.25" customHeight="1" x14ac:dyDescent="0.4">
      <c r="A26" s="68" t="s">
        <v>1594</v>
      </c>
      <c r="B26" s="3"/>
      <c r="C26" s="3"/>
      <c r="D26" s="3"/>
      <c r="E26" s="3"/>
    </row>
    <row r="27" spans="1:5" ht="14.25" customHeight="1" x14ac:dyDescent="0.4">
      <c r="A27" s="68" t="s">
        <v>1595</v>
      </c>
      <c r="B27" s="3"/>
      <c r="C27" s="3"/>
      <c r="D27" s="3"/>
      <c r="E27" s="3"/>
    </row>
    <row r="28" spans="1:5" ht="14.25" customHeight="1" x14ac:dyDescent="0.4">
      <c r="A28" s="68" t="s">
        <v>1596</v>
      </c>
      <c r="B28" s="3"/>
      <c r="C28" s="3"/>
      <c r="D28" s="3"/>
      <c r="E28" s="3"/>
    </row>
    <row r="29" spans="1:5" ht="14.25" customHeight="1" x14ac:dyDescent="0.4">
      <c r="A29" s="68" t="s">
        <v>1597</v>
      </c>
      <c r="B29" s="3"/>
      <c r="C29" s="3"/>
      <c r="D29" s="3"/>
      <c r="E29" s="3"/>
    </row>
  </sheetData>
  <phoneticPr fontId="17" type="noConversion"/>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02"/>
  <sheetViews>
    <sheetView zoomScaleNormal="100" workbookViewId="0">
      <selection activeCell="A84" sqref="A84"/>
    </sheetView>
  </sheetViews>
  <sheetFormatPr defaultColWidth="8.6640625" defaultRowHeight="14.4" x14ac:dyDescent="0.3"/>
  <cols>
    <col min="1" max="1" width="6" customWidth="1"/>
    <col min="2" max="2" width="20" customWidth="1"/>
    <col min="3" max="3" width="26" customWidth="1"/>
    <col min="4" max="4" width="78" customWidth="1"/>
    <col min="5" max="5" width="30" customWidth="1"/>
  </cols>
  <sheetData>
    <row r="1" spans="1:5" ht="15" customHeight="1" x14ac:dyDescent="0.3">
      <c r="A1" s="41" t="s">
        <v>132</v>
      </c>
      <c r="B1" s="48" t="s">
        <v>1598</v>
      </c>
      <c r="C1" s="48" t="s">
        <v>1599</v>
      </c>
      <c r="D1" s="48" t="s">
        <v>1600</v>
      </c>
      <c r="E1" s="48" t="s">
        <v>1601</v>
      </c>
    </row>
    <row r="2" spans="1:5" ht="15" customHeight="1" x14ac:dyDescent="0.4">
      <c r="A2" s="3"/>
      <c r="B2" s="71" t="s">
        <v>1602</v>
      </c>
      <c r="C2" s="3"/>
      <c r="D2" s="3"/>
      <c r="E2" s="3"/>
    </row>
    <row r="3" spans="1:5" ht="15" customHeight="1" x14ac:dyDescent="0.3">
      <c r="A3" s="49">
        <v>1</v>
      </c>
      <c r="B3" s="39" t="s">
        <v>15</v>
      </c>
      <c r="C3" s="19" t="s">
        <v>703</v>
      </c>
      <c r="D3" s="42" t="s">
        <v>1603</v>
      </c>
      <c r="E3" s="49" t="s">
        <v>1604</v>
      </c>
    </row>
    <row r="4" spans="1:5" ht="15" customHeight="1" x14ac:dyDescent="0.3">
      <c r="A4" s="49">
        <v>2</v>
      </c>
      <c r="B4" s="39" t="s">
        <v>15</v>
      </c>
      <c r="C4" s="19" t="s">
        <v>581</v>
      </c>
      <c r="D4" s="42" t="s">
        <v>1605</v>
      </c>
      <c r="E4" s="49" t="s">
        <v>1604</v>
      </c>
    </row>
    <row r="5" spans="1:5" ht="15" customHeight="1" x14ac:dyDescent="0.3">
      <c r="A5" s="49">
        <v>3</v>
      </c>
      <c r="B5" s="39" t="s">
        <v>15</v>
      </c>
      <c r="C5" s="19" t="s">
        <v>1101</v>
      </c>
      <c r="D5" s="66" t="s">
        <v>1606</v>
      </c>
      <c r="E5" s="49" t="s">
        <v>1607</v>
      </c>
    </row>
    <row r="6" spans="1:5" ht="15" customHeight="1" x14ac:dyDescent="0.3">
      <c r="A6" s="49">
        <v>4</v>
      </c>
      <c r="B6" s="39" t="s">
        <v>15</v>
      </c>
      <c r="C6" s="19" t="s">
        <v>638</v>
      </c>
      <c r="D6" s="42" t="s">
        <v>1608</v>
      </c>
      <c r="E6" s="49" t="s">
        <v>1607</v>
      </c>
    </row>
    <row r="7" spans="1:5" ht="15" customHeight="1" x14ac:dyDescent="0.3">
      <c r="A7" s="49">
        <v>5</v>
      </c>
      <c r="B7" s="39" t="s">
        <v>15</v>
      </c>
      <c r="C7" s="19" t="s">
        <v>542</v>
      </c>
      <c r="D7" s="42" t="s">
        <v>1609</v>
      </c>
      <c r="E7" s="49" t="s">
        <v>1610</v>
      </c>
    </row>
    <row r="8" spans="1:5" ht="15" customHeight="1" x14ac:dyDescent="0.3">
      <c r="A8" s="49">
        <v>6</v>
      </c>
      <c r="B8" s="39" t="s">
        <v>15</v>
      </c>
      <c r="C8" s="19" t="s">
        <v>515</v>
      </c>
      <c r="D8" s="42" t="s">
        <v>1611</v>
      </c>
      <c r="E8" s="30" t="s">
        <v>1612</v>
      </c>
    </row>
    <row r="9" spans="1:5" ht="15" customHeight="1" x14ac:dyDescent="0.3">
      <c r="A9" s="49">
        <v>7</v>
      </c>
      <c r="B9" s="39" t="s">
        <v>15</v>
      </c>
      <c r="C9" s="19" t="s">
        <v>527</v>
      </c>
      <c r="D9" s="66" t="s">
        <v>1613</v>
      </c>
      <c r="E9" s="30" t="s">
        <v>1614</v>
      </c>
    </row>
    <row r="10" spans="1:5" ht="15" customHeight="1" x14ac:dyDescent="0.3">
      <c r="A10" s="49">
        <v>8</v>
      </c>
      <c r="B10" s="39" t="s">
        <v>15</v>
      </c>
      <c r="C10" s="19" t="s">
        <v>1056</v>
      </c>
      <c r="D10" s="42" t="s">
        <v>1615</v>
      </c>
      <c r="E10" s="30" t="s">
        <v>1614</v>
      </c>
    </row>
    <row r="11" spans="1:5" ht="15" customHeight="1" x14ac:dyDescent="0.3">
      <c r="A11" s="49">
        <v>9</v>
      </c>
      <c r="B11" s="39" t="s">
        <v>15</v>
      </c>
      <c r="C11" s="19" t="s">
        <v>413</v>
      </c>
      <c r="D11" s="42" t="s">
        <v>1616</v>
      </c>
      <c r="E11" s="49" t="s">
        <v>1610</v>
      </c>
    </row>
    <row r="12" spans="1:5" ht="15" customHeight="1" x14ac:dyDescent="0.3">
      <c r="A12" s="49">
        <v>10</v>
      </c>
      <c r="B12" s="39" t="s">
        <v>17</v>
      </c>
      <c r="C12" s="19" t="s">
        <v>1355</v>
      </c>
      <c r="D12" s="66" t="s">
        <v>1617</v>
      </c>
      <c r="E12" s="30" t="s">
        <v>1614</v>
      </c>
    </row>
    <row r="13" spans="1:5" ht="15" customHeight="1" x14ac:dyDescent="0.3">
      <c r="A13" s="49">
        <v>11</v>
      </c>
      <c r="B13" s="39" t="s">
        <v>17</v>
      </c>
      <c r="C13" s="19" t="s">
        <v>1363</v>
      </c>
      <c r="D13" s="66" t="s">
        <v>1618</v>
      </c>
      <c r="E13" s="49" t="s">
        <v>1604</v>
      </c>
    </row>
    <row r="14" spans="1:5" ht="15" customHeight="1" x14ac:dyDescent="0.3">
      <c r="A14" s="49">
        <v>12</v>
      </c>
      <c r="B14" s="39" t="s">
        <v>17</v>
      </c>
      <c r="C14" s="19" t="s">
        <v>1371</v>
      </c>
      <c r="D14" s="42" t="s">
        <v>1619</v>
      </c>
      <c r="E14" s="49" t="s">
        <v>1607</v>
      </c>
    </row>
    <row r="15" spans="1:5" ht="15" customHeight="1" x14ac:dyDescent="0.3">
      <c r="A15" s="49">
        <v>13</v>
      </c>
      <c r="B15" s="39" t="s">
        <v>17</v>
      </c>
      <c r="C15" s="19" t="s">
        <v>1379</v>
      </c>
      <c r="D15" s="66" t="s">
        <v>1620</v>
      </c>
      <c r="E15" s="30" t="s">
        <v>1621</v>
      </c>
    </row>
    <row r="16" spans="1:5" ht="15" customHeight="1" x14ac:dyDescent="0.3">
      <c r="A16" s="49">
        <v>14</v>
      </c>
      <c r="B16" s="39" t="s">
        <v>1622</v>
      </c>
      <c r="C16" s="54" t="s">
        <v>1623</v>
      </c>
      <c r="D16" s="66" t="s">
        <v>1624</v>
      </c>
      <c r="E16" s="49" t="s">
        <v>1610</v>
      </c>
    </row>
    <row r="17" spans="1:5" ht="15" customHeight="1" x14ac:dyDescent="0.3">
      <c r="A17" s="49">
        <v>15</v>
      </c>
      <c r="B17" s="39" t="s">
        <v>1622</v>
      </c>
      <c r="C17" s="54" t="s">
        <v>1625</v>
      </c>
      <c r="D17" s="66" t="s">
        <v>1626</v>
      </c>
      <c r="E17" s="30" t="s">
        <v>1627</v>
      </c>
    </row>
    <row r="18" spans="1:5" ht="15" customHeight="1" x14ac:dyDescent="0.3">
      <c r="A18" s="49">
        <v>16</v>
      </c>
      <c r="B18" s="39" t="s">
        <v>1622</v>
      </c>
      <c r="C18" s="54" t="s">
        <v>1628</v>
      </c>
      <c r="D18" s="66" t="s">
        <v>1629</v>
      </c>
      <c r="E18" s="49" t="s">
        <v>1610</v>
      </c>
    </row>
    <row r="19" spans="1:5" ht="15" customHeight="1" x14ac:dyDescent="0.3">
      <c r="A19" s="49">
        <v>17</v>
      </c>
      <c r="B19" s="39" t="s">
        <v>11</v>
      </c>
      <c r="C19" s="19" t="s">
        <v>1630</v>
      </c>
      <c r="D19" s="66" t="s">
        <v>1631</v>
      </c>
      <c r="E19" s="30" t="s">
        <v>1632</v>
      </c>
    </row>
    <row r="20" spans="1:5" ht="15" customHeight="1" x14ac:dyDescent="0.3">
      <c r="A20" s="49">
        <v>18</v>
      </c>
      <c r="B20" s="39" t="s">
        <v>11</v>
      </c>
      <c r="C20" s="19" t="s">
        <v>225</v>
      </c>
      <c r="D20" s="42" t="s">
        <v>1633</v>
      </c>
      <c r="E20" s="30" t="s">
        <v>1634</v>
      </c>
    </row>
    <row r="21" spans="1:5" ht="15" customHeight="1" x14ac:dyDescent="0.3">
      <c r="A21" s="49">
        <v>19</v>
      </c>
      <c r="B21" s="39" t="s">
        <v>11</v>
      </c>
      <c r="C21" s="19" t="s">
        <v>234</v>
      </c>
      <c r="D21" s="66" t="s">
        <v>1635</v>
      </c>
      <c r="E21" s="30" t="s">
        <v>1636</v>
      </c>
    </row>
    <row r="22" spans="1:5" ht="15" customHeight="1" x14ac:dyDescent="0.3">
      <c r="A22" s="49">
        <v>20</v>
      </c>
      <c r="B22" s="39" t="s">
        <v>11</v>
      </c>
      <c r="C22" s="19" t="s">
        <v>243</v>
      </c>
      <c r="D22" s="66" t="s">
        <v>1637</v>
      </c>
      <c r="E22" s="30" t="s">
        <v>1638</v>
      </c>
    </row>
    <row r="23" spans="1:5" ht="15" customHeight="1" x14ac:dyDescent="0.3">
      <c r="A23" s="49">
        <v>21</v>
      </c>
      <c r="B23" s="39" t="s">
        <v>11</v>
      </c>
      <c r="C23" s="19" t="s">
        <v>1639</v>
      </c>
      <c r="D23" s="42" t="s">
        <v>1640</v>
      </c>
      <c r="E23" s="49" t="s">
        <v>1607</v>
      </c>
    </row>
    <row r="24" spans="1:5" ht="15" customHeight="1" x14ac:dyDescent="0.3">
      <c r="A24" s="49">
        <v>22</v>
      </c>
      <c r="B24" s="39" t="s">
        <v>11</v>
      </c>
      <c r="C24" s="19" t="s">
        <v>261</v>
      </c>
      <c r="D24" s="66" t="s">
        <v>1641</v>
      </c>
      <c r="E24" s="49" t="s">
        <v>1604</v>
      </c>
    </row>
    <row r="25" spans="1:5" ht="15" customHeight="1" x14ac:dyDescent="0.3">
      <c r="A25" s="49">
        <v>23</v>
      </c>
      <c r="B25" s="39" t="s">
        <v>11</v>
      </c>
      <c r="C25" s="19" t="s">
        <v>300</v>
      </c>
      <c r="D25" s="66" t="s">
        <v>1642</v>
      </c>
      <c r="E25" s="30" t="s">
        <v>1643</v>
      </c>
    </row>
    <row r="26" spans="1:5" ht="15" customHeight="1" x14ac:dyDescent="0.3">
      <c r="A26" s="49">
        <v>24</v>
      </c>
      <c r="B26" s="39" t="s">
        <v>13</v>
      </c>
      <c r="C26" s="19" t="s">
        <v>1644</v>
      </c>
      <c r="D26" s="66" t="s">
        <v>1645</v>
      </c>
      <c r="E26" s="49" t="s">
        <v>1610</v>
      </c>
    </row>
    <row r="27" spans="1:5" ht="15" customHeight="1" x14ac:dyDescent="0.3">
      <c r="A27" s="49">
        <v>25</v>
      </c>
      <c r="B27" s="39" t="s">
        <v>13</v>
      </c>
      <c r="C27" s="19" t="s">
        <v>1639</v>
      </c>
      <c r="D27" s="42" t="s">
        <v>1646</v>
      </c>
      <c r="E27" s="49" t="s">
        <v>1607</v>
      </c>
    </row>
    <row r="28" spans="1:5" ht="15" customHeight="1" x14ac:dyDescent="0.3">
      <c r="A28" s="49">
        <v>26</v>
      </c>
      <c r="B28" s="39" t="s">
        <v>13</v>
      </c>
      <c r="C28" s="19" t="s">
        <v>300</v>
      </c>
      <c r="D28" s="66" t="s">
        <v>1647</v>
      </c>
      <c r="E28" s="30" t="s">
        <v>1643</v>
      </c>
    </row>
    <row r="29" spans="1:5" ht="15" customHeight="1" x14ac:dyDescent="0.3">
      <c r="A29" s="49">
        <v>27</v>
      </c>
      <c r="B29" s="39" t="s">
        <v>1648</v>
      </c>
      <c r="C29" s="54" t="s">
        <v>1649</v>
      </c>
      <c r="D29" s="66" t="s">
        <v>1650</v>
      </c>
      <c r="E29" s="49" t="s">
        <v>1610</v>
      </c>
    </row>
    <row r="30" spans="1:5" ht="15" customHeight="1" x14ac:dyDescent="0.3">
      <c r="A30" s="49">
        <v>28</v>
      </c>
      <c r="B30" s="39" t="s">
        <v>1648</v>
      </c>
      <c r="C30" s="19" t="s">
        <v>99</v>
      </c>
      <c r="D30" s="42" t="s">
        <v>1651</v>
      </c>
      <c r="E30" s="49" t="s">
        <v>1610</v>
      </c>
    </row>
    <row r="31" spans="1:5" ht="15" customHeight="1" x14ac:dyDescent="0.4">
      <c r="A31" s="3"/>
      <c r="B31" s="71" t="s">
        <v>1652</v>
      </c>
      <c r="C31" s="3"/>
      <c r="D31" s="3"/>
      <c r="E31" s="3"/>
    </row>
    <row r="32" spans="1:5" ht="16.5" customHeight="1" x14ac:dyDescent="0.3">
      <c r="A32" s="49">
        <v>1</v>
      </c>
      <c r="B32" s="39" t="s">
        <v>11</v>
      </c>
      <c r="C32" s="19" t="s">
        <v>281</v>
      </c>
      <c r="D32" s="43" t="s">
        <v>1653</v>
      </c>
      <c r="E32" s="49" t="s">
        <v>1654</v>
      </c>
    </row>
    <row r="33" spans="1:5" ht="16.5" customHeight="1" x14ac:dyDescent="0.3">
      <c r="A33" s="49">
        <v>2</v>
      </c>
      <c r="B33" s="39" t="s">
        <v>11</v>
      </c>
      <c r="C33" s="19" t="s">
        <v>309</v>
      </c>
      <c r="D33" s="66" t="s">
        <v>1655</v>
      </c>
      <c r="E33" s="49" t="s">
        <v>1654</v>
      </c>
    </row>
    <row r="34" spans="1:5" ht="15" customHeight="1" x14ac:dyDescent="0.3">
      <c r="A34" s="49">
        <v>3</v>
      </c>
      <c r="B34" s="39" t="s">
        <v>11</v>
      </c>
      <c r="C34" s="54" t="s">
        <v>1656</v>
      </c>
      <c r="D34" s="43" t="s">
        <v>1657</v>
      </c>
      <c r="E34" s="49" t="s">
        <v>1654</v>
      </c>
    </row>
    <row r="35" spans="1:5" ht="15" customHeight="1" x14ac:dyDescent="0.3">
      <c r="A35" s="49">
        <v>4</v>
      </c>
      <c r="B35" s="39" t="s">
        <v>11</v>
      </c>
      <c r="C35" s="19" t="s">
        <v>1658</v>
      </c>
      <c r="D35" s="66" t="s">
        <v>1659</v>
      </c>
      <c r="E35" s="49" t="s">
        <v>1654</v>
      </c>
    </row>
    <row r="36" spans="1:5" ht="23.25" customHeight="1" x14ac:dyDescent="0.3">
      <c r="A36" s="49">
        <v>5</v>
      </c>
      <c r="B36" s="39" t="s">
        <v>11</v>
      </c>
      <c r="C36" s="19" t="s">
        <v>1660</v>
      </c>
      <c r="D36" s="66" t="s">
        <v>1661</v>
      </c>
      <c r="E36" s="49" t="s">
        <v>1654</v>
      </c>
    </row>
    <row r="37" spans="1:5" ht="15" customHeight="1" x14ac:dyDescent="0.3">
      <c r="A37" s="49">
        <v>6</v>
      </c>
      <c r="B37" s="39" t="s">
        <v>11</v>
      </c>
      <c r="C37" s="19" t="s">
        <v>145</v>
      </c>
      <c r="D37" s="66" t="s">
        <v>1662</v>
      </c>
      <c r="E37" s="49" t="s">
        <v>1654</v>
      </c>
    </row>
    <row r="38" spans="1:5" ht="15" customHeight="1" x14ac:dyDescent="0.3">
      <c r="A38" s="49">
        <v>7</v>
      </c>
      <c r="B38" s="39" t="s">
        <v>11</v>
      </c>
      <c r="C38" s="19" t="s">
        <v>1663</v>
      </c>
      <c r="D38" s="66" t="s">
        <v>1664</v>
      </c>
      <c r="E38" s="49" t="s">
        <v>1654</v>
      </c>
    </row>
    <row r="39" spans="1:5" ht="15" customHeight="1" x14ac:dyDescent="0.3">
      <c r="A39" s="49">
        <v>8</v>
      </c>
      <c r="B39" s="39" t="s">
        <v>15</v>
      </c>
      <c r="C39" s="19" t="s">
        <v>638</v>
      </c>
      <c r="D39" s="43" t="s">
        <v>1665</v>
      </c>
      <c r="E39" s="49" t="s">
        <v>1654</v>
      </c>
    </row>
    <row r="40" spans="1:5" ht="15" customHeight="1" x14ac:dyDescent="0.3">
      <c r="A40" s="49">
        <v>9</v>
      </c>
      <c r="B40" s="39" t="s">
        <v>15</v>
      </c>
      <c r="C40" s="19" t="s">
        <v>417</v>
      </c>
      <c r="D40" s="66" t="s">
        <v>1666</v>
      </c>
      <c r="E40" s="49" t="s">
        <v>1654</v>
      </c>
    </row>
    <row r="41" spans="1:5" ht="15" customHeight="1" x14ac:dyDescent="0.3">
      <c r="A41" s="49">
        <v>10</v>
      </c>
      <c r="B41" s="39" t="s">
        <v>15</v>
      </c>
      <c r="C41" s="19" t="s">
        <v>359</v>
      </c>
      <c r="D41" s="43" t="s">
        <v>1667</v>
      </c>
      <c r="E41" s="49" t="s">
        <v>1654</v>
      </c>
    </row>
    <row r="42" spans="1:5" ht="23.25" customHeight="1" x14ac:dyDescent="0.3">
      <c r="A42" s="49">
        <v>11</v>
      </c>
      <c r="B42" s="39" t="s">
        <v>15</v>
      </c>
      <c r="C42" s="19" t="s">
        <v>1668</v>
      </c>
      <c r="D42" s="66" t="s">
        <v>1669</v>
      </c>
      <c r="E42" s="49" t="s">
        <v>1654</v>
      </c>
    </row>
    <row r="43" spans="1:5" ht="15" customHeight="1" x14ac:dyDescent="0.3">
      <c r="A43" s="49">
        <v>12</v>
      </c>
      <c r="B43" s="39" t="s">
        <v>17</v>
      </c>
      <c r="C43" s="19" t="s">
        <v>1371</v>
      </c>
      <c r="D43" s="43" t="s">
        <v>1670</v>
      </c>
      <c r="E43" s="49" t="s">
        <v>1654</v>
      </c>
    </row>
    <row r="44" spans="1:5" ht="15" customHeight="1" x14ac:dyDescent="0.3">
      <c r="A44" s="49">
        <v>13</v>
      </c>
      <c r="B44" s="39" t="s">
        <v>17</v>
      </c>
      <c r="C44" s="19" t="s">
        <v>1384</v>
      </c>
      <c r="D44" s="66" t="s">
        <v>1671</v>
      </c>
      <c r="E44" s="49" t="s">
        <v>1654</v>
      </c>
    </row>
    <row r="45" spans="1:5" ht="23.25" customHeight="1" x14ac:dyDescent="0.3">
      <c r="A45" s="49">
        <v>14</v>
      </c>
      <c r="B45" s="39" t="s">
        <v>19</v>
      </c>
      <c r="C45" s="19" t="s">
        <v>1672</v>
      </c>
      <c r="D45" s="66" t="s">
        <v>1673</v>
      </c>
      <c r="E45" s="49" t="s">
        <v>1654</v>
      </c>
    </row>
    <row r="46" spans="1:5" ht="15" customHeight="1" x14ac:dyDescent="0.3">
      <c r="A46" s="49">
        <v>15</v>
      </c>
      <c r="B46" s="39" t="s">
        <v>1622</v>
      </c>
      <c r="C46" s="54" t="s">
        <v>1557</v>
      </c>
      <c r="D46" s="43" t="s">
        <v>1674</v>
      </c>
      <c r="E46" s="49" t="s">
        <v>1654</v>
      </c>
    </row>
    <row r="47" spans="1:5" ht="15" customHeight="1" x14ac:dyDescent="0.3">
      <c r="A47" s="49">
        <v>16</v>
      </c>
      <c r="B47" s="39" t="s">
        <v>13</v>
      </c>
      <c r="C47" s="19" t="s">
        <v>1675</v>
      </c>
      <c r="D47" s="66" t="s">
        <v>1676</v>
      </c>
      <c r="E47" s="49" t="s">
        <v>1654</v>
      </c>
    </row>
    <row r="48" spans="1:5" ht="15" customHeight="1" x14ac:dyDescent="0.3">
      <c r="A48" s="49">
        <v>17</v>
      </c>
      <c r="B48" s="39" t="s">
        <v>1648</v>
      </c>
      <c r="C48" s="54" t="s">
        <v>1677</v>
      </c>
      <c r="D48" s="66" t="s">
        <v>1678</v>
      </c>
      <c r="E48" s="49" t="s">
        <v>1654</v>
      </c>
    </row>
    <row r="49" spans="1:5" ht="15" customHeight="1" x14ac:dyDescent="0.4">
      <c r="A49" s="3" t="s">
        <v>1679</v>
      </c>
      <c r="B49" s="3"/>
      <c r="C49" s="3"/>
      <c r="D49" s="3"/>
      <c r="E49" s="3"/>
    </row>
    <row r="50" spans="1:5" ht="16.5" customHeight="1" x14ac:dyDescent="0.4">
      <c r="B50" s="71" t="s">
        <v>1680</v>
      </c>
      <c r="C50" s="3"/>
      <c r="D50" s="3"/>
      <c r="E50" s="3"/>
    </row>
    <row r="51" spans="1:5" ht="16.5" customHeight="1" x14ac:dyDescent="0.3">
      <c r="A51" s="49">
        <v>1</v>
      </c>
      <c r="B51" s="39" t="s">
        <v>15</v>
      </c>
      <c r="C51" s="19" t="s">
        <v>707</v>
      </c>
      <c r="D51" s="66" t="s">
        <v>1681</v>
      </c>
      <c r="E51" s="49" t="s">
        <v>1654</v>
      </c>
    </row>
    <row r="52" spans="1:5" ht="15" customHeight="1" x14ac:dyDescent="0.3">
      <c r="A52" s="49">
        <v>2</v>
      </c>
      <c r="B52" s="39" t="s">
        <v>15</v>
      </c>
      <c r="C52" s="19" t="s">
        <v>1005</v>
      </c>
      <c r="D52" s="66" t="s">
        <v>1682</v>
      </c>
      <c r="E52" s="49" t="s">
        <v>1654</v>
      </c>
    </row>
    <row r="53" spans="1:5" ht="15" customHeight="1" x14ac:dyDescent="0.3">
      <c r="A53" s="49">
        <v>3</v>
      </c>
      <c r="B53" s="39" t="s">
        <v>15</v>
      </c>
      <c r="C53" s="19" t="s">
        <v>1193</v>
      </c>
      <c r="D53" s="66" t="s">
        <v>1683</v>
      </c>
      <c r="E53" s="49" t="s">
        <v>1654</v>
      </c>
    </row>
    <row r="54" spans="1:5" ht="15" customHeight="1" x14ac:dyDescent="0.3">
      <c r="A54" s="49">
        <v>4</v>
      </c>
      <c r="B54" s="39" t="s">
        <v>15</v>
      </c>
      <c r="C54" s="19" t="s">
        <v>919</v>
      </c>
      <c r="D54" s="66" t="s">
        <v>1684</v>
      </c>
      <c r="E54" s="49" t="s">
        <v>1654</v>
      </c>
    </row>
    <row r="55" spans="1:5" ht="23.25" customHeight="1" x14ac:dyDescent="0.3">
      <c r="A55" s="49">
        <v>5</v>
      </c>
      <c r="B55" s="39" t="s">
        <v>15</v>
      </c>
      <c r="C55" s="19" t="s">
        <v>1685</v>
      </c>
      <c r="D55" s="66" t="s">
        <v>1686</v>
      </c>
      <c r="E55" s="49" t="s">
        <v>1654</v>
      </c>
    </row>
    <row r="56" spans="1:5" ht="15" customHeight="1" x14ac:dyDescent="0.3">
      <c r="A56" s="49">
        <v>6</v>
      </c>
      <c r="B56" s="39" t="s">
        <v>17</v>
      </c>
      <c r="C56" s="19" t="s">
        <v>1392</v>
      </c>
      <c r="D56" s="66" t="s">
        <v>1687</v>
      </c>
      <c r="E56" s="49" t="s">
        <v>1654</v>
      </c>
    </row>
    <row r="57" spans="1:5" ht="23.25" customHeight="1" x14ac:dyDescent="0.3">
      <c r="A57" s="49">
        <v>7</v>
      </c>
      <c r="B57" s="39" t="s">
        <v>19</v>
      </c>
      <c r="C57" s="19" t="s">
        <v>1688</v>
      </c>
      <c r="D57" s="66" t="s">
        <v>1689</v>
      </c>
      <c r="E57" s="49" t="s">
        <v>1654</v>
      </c>
    </row>
    <row r="58" spans="1:5" ht="15" customHeight="1" x14ac:dyDescent="0.3">
      <c r="A58" s="49">
        <v>8</v>
      </c>
      <c r="B58" s="39" t="s">
        <v>11</v>
      </c>
      <c r="C58" s="19" t="s">
        <v>1690</v>
      </c>
      <c r="D58" s="66" t="s">
        <v>1691</v>
      </c>
      <c r="E58" s="49" t="s">
        <v>1654</v>
      </c>
    </row>
    <row r="59" spans="1:5" ht="15" customHeight="1" x14ac:dyDescent="0.3">
      <c r="A59" s="49">
        <v>9</v>
      </c>
      <c r="B59" s="39" t="s">
        <v>1648</v>
      </c>
      <c r="C59" s="54" t="s">
        <v>1692</v>
      </c>
      <c r="D59" s="66" t="s">
        <v>1693</v>
      </c>
      <c r="E59" s="49" t="s">
        <v>1654</v>
      </c>
    </row>
    <row r="60" spans="1:5" ht="15" customHeight="1" x14ac:dyDescent="0.4">
      <c r="A60" s="3" t="s">
        <v>1694</v>
      </c>
      <c r="B60" s="3"/>
      <c r="C60" s="3"/>
      <c r="D60" s="3"/>
      <c r="E60" s="3"/>
    </row>
    <row r="61" spans="1:5" ht="16.5" customHeight="1" x14ac:dyDescent="0.4">
      <c r="B61" s="71" t="s">
        <v>1695</v>
      </c>
      <c r="C61" s="3"/>
      <c r="D61" s="3"/>
      <c r="E61" s="3"/>
    </row>
    <row r="62" spans="1:5" ht="16.5" customHeight="1" x14ac:dyDescent="0.3">
      <c r="A62" s="49">
        <v>1</v>
      </c>
      <c r="B62" s="39" t="s">
        <v>15</v>
      </c>
      <c r="C62" s="19" t="s">
        <v>1101</v>
      </c>
      <c r="D62" s="43" t="s">
        <v>1696</v>
      </c>
      <c r="E62" s="49" t="s">
        <v>1697</v>
      </c>
    </row>
    <row r="63" spans="1:5" ht="15" customHeight="1" x14ac:dyDescent="0.3">
      <c r="A63" s="49">
        <v>2</v>
      </c>
      <c r="B63" s="39" t="s">
        <v>15</v>
      </c>
      <c r="C63" s="19" t="s">
        <v>638</v>
      </c>
      <c r="D63" s="43" t="s">
        <v>1698</v>
      </c>
      <c r="E63" s="49" t="s">
        <v>1697</v>
      </c>
    </row>
    <row r="64" spans="1:5" ht="15" customHeight="1" x14ac:dyDescent="0.3">
      <c r="A64" s="49">
        <v>3</v>
      </c>
      <c r="B64" s="39" t="s">
        <v>15</v>
      </c>
      <c r="C64" s="19" t="s">
        <v>761</v>
      </c>
      <c r="D64" s="43" t="s">
        <v>1699</v>
      </c>
      <c r="E64" s="49" t="s">
        <v>1697</v>
      </c>
    </row>
    <row r="65" spans="1:5" ht="15" customHeight="1" x14ac:dyDescent="0.3">
      <c r="A65" s="49">
        <v>4</v>
      </c>
      <c r="B65" s="39" t="s">
        <v>11</v>
      </c>
      <c r="C65" s="19" t="s">
        <v>243</v>
      </c>
      <c r="D65" s="66" t="s">
        <v>1700</v>
      </c>
      <c r="E65" s="49" t="s">
        <v>1697</v>
      </c>
    </row>
    <row r="66" spans="1:5" ht="15" customHeight="1" x14ac:dyDescent="0.3">
      <c r="A66" s="49">
        <v>5</v>
      </c>
      <c r="B66" s="39" t="s">
        <v>11</v>
      </c>
      <c r="C66" s="19" t="s">
        <v>309</v>
      </c>
      <c r="D66" s="66" t="s">
        <v>1701</v>
      </c>
      <c r="E66" s="49" t="s">
        <v>1697</v>
      </c>
    </row>
    <row r="67" spans="1:5" ht="15" customHeight="1" x14ac:dyDescent="0.3">
      <c r="A67" s="49">
        <v>6</v>
      </c>
      <c r="B67" s="39" t="s">
        <v>11</v>
      </c>
      <c r="C67" s="19" t="s">
        <v>281</v>
      </c>
      <c r="D67" s="66" t="s">
        <v>1702</v>
      </c>
      <c r="E67" s="49" t="s">
        <v>1697</v>
      </c>
    </row>
    <row r="68" spans="1:5" ht="15" customHeight="1" x14ac:dyDescent="0.3">
      <c r="A68" s="49">
        <v>7</v>
      </c>
      <c r="B68" s="39" t="s">
        <v>17</v>
      </c>
      <c r="C68" s="19" t="s">
        <v>1371</v>
      </c>
      <c r="D68" s="66" t="s">
        <v>1703</v>
      </c>
      <c r="E68" s="49" t="s">
        <v>1697</v>
      </c>
    </row>
    <row r="69" spans="1:5" ht="15" customHeight="1" x14ac:dyDescent="0.3">
      <c r="A69" s="49">
        <v>8</v>
      </c>
      <c r="B69" s="39" t="s">
        <v>17</v>
      </c>
      <c r="C69" s="19" t="s">
        <v>1392</v>
      </c>
      <c r="D69" s="66" t="s">
        <v>1704</v>
      </c>
      <c r="E69" s="49" t="s">
        <v>1697</v>
      </c>
    </row>
    <row r="70" spans="1:5" ht="15" customHeight="1" x14ac:dyDescent="0.3">
      <c r="A70" s="49">
        <v>9</v>
      </c>
      <c r="B70" s="39" t="s">
        <v>19</v>
      </c>
      <c r="C70" s="19" t="s">
        <v>1509</v>
      </c>
      <c r="D70" s="66" t="s">
        <v>1705</v>
      </c>
      <c r="E70" s="49" t="s">
        <v>1697</v>
      </c>
    </row>
    <row r="71" spans="1:5" ht="15" customHeight="1" x14ac:dyDescent="0.3">
      <c r="A71" s="49">
        <v>10</v>
      </c>
      <c r="B71" s="39" t="s">
        <v>1622</v>
      </c>
      <c r="C71" s="54" t="s">
        <v>1706</v>
      </c>
      <c r="D71" s="43" t="s">
        <v>1707</v>
      </c>
      <c r="E71" s="49" t="s">
        <v>1697</v>
      </c>
    </row>
    <row r="72" spans="1:5" ht="15" customHeight="1" x14ac:dyDescent="0.3">
      <c r="A72" s="49">
        <v>11</v>
      </c>
      <c r="B72" s="39" t="s">
        <v>1648</v>
      </c>
      <c r="C72" s="54" t="s">
        <v>1708</v>
      </c>
      <c r="D72" s="66" t="s">
        <v>1709</v>
      </c>
      <c r="E72" s="49" t="s">
        <v>1697</v>
      </c>
    </row>
    <row r="73" spans="1:5" ht="15" customHeight="1" x14ac:dyDescent="0.4">
      <c r="A73" s="3" t="s">
        <v>1710</v>
      </c>
      <c r="B73" s="3"/>
      <c r="C73" s="3"/>
      <c r="D73" s="3"/>
      <c r="E73" s="3"/>
    </row>
    <row r="74" spans="1:5" ht="16.5" customHeight="1" x14ac:dyDescent="0.4">
      <c r="B74" s="71" t="s">
        <v>1711</v>
      </c>
      <c r="C74" s="3"/>
      <c r="D74" s="3"/>
      <c r="E74" s="3"/>
    </row>
    <row r="75" spans="1:5" ht="16.5" customHeight="1" x14ac:dyDescent="0.3">
      <c r="A75" s="49">
        <v>1</v>
      </c>
      <c r="B75" s="39" t="s">
        <v>11</v>
      </c>
      <c r="C75" s="19" t="s">
        <v>317</v>
      </c>
      <c r="D75" s="66" t="s">
        <v>1712</v>
      </c>
      <c r="E75" s="49" t="s">
        <v>1713</v>
      </c>
    </row>
    <row r="76" spans="1:5" ht="15" customHeight="1" x14ac:dyDescent="0.3">
      <c r="A76" s="49">
        <v>2</v>
      </c>
      <c r="B76" s="39" t="s">
        <v>11</v>
      </c>
      <c r="C76" s="54" t="s">
        <v>1001</v>
      </c>
      <c r="D76" s="43" t="s">
        <v>1714</v>
      </c>
      <c r="E76" s="49" t="s">
        <v>1713</v>
      </c>
    </row>
    <row r="77" spans="1:5" ht="15" customHeight="1" x14ac:dyDescent="0.3">
      <c r="A77" s="49">
        <v>3</v>
      </c>
      <c r="B77" s="39" t="s">
        <v>11</v>
      </c>
      <c r="C77" s="19" t="s">
        <v>309</v>
      </c>
      <c r="D77" s="66" t="s">
        <v>1715</v>
      </c>
      <c r="E77" s="49" t="s">
        <v>1713</v>
      </c>
    </row>
    <row r="78" spans="1:5" ht="15" customHeight="1" x14ac:dyDescent="0.3">
      <c r="A78" s="49">
        <v>4</v>
      </c>
      <c r="B78" s="39" t="s">
        <v>11</v>
      </c>
      <c r="C78" s="19" t="s">
        <v>300</v>
      </c>
      <c r="D78" s="66" t="s">
        <v>1716</v>
      </c>
      <c r="E78" s="49" t="s">
        <v>1713</v>
      </c>
    </row>
    <row r="79" spans="1:5" ht="15" customHeight="1" x14ac:dyDescent="0.3">
      <c r="A79" s="49">
        <v>5</v>
      </c>
      <c r="B79" s="39" t="s">
        <v>15</v>
      </c>
      <c r="C79" s="19" t="s">
        <v>1138</v>
      </c>
      <c r="D79" s="66" t="s">
        <v>1717</v>
      </c>
      <c r="E79" s="49" t="s">
        <v>1713</v>
      </c>
    </row>
    <row r="80" spans="1:5" ht="15" customHeight="1" x14ac:dyDescent="0.3">
      <c r="A80" s="49">
        <v>6</v>
      </c>
      <c r="B80" s="39" t="s">
        <v>15</v>
      </c>
      <c r="C80" s="19" t="s">
        <v>638</v>
      </c>
      <c r="D80" s="43" t="s">
        <v>1718</v>
      </c>
      <c r="E80" s="49" t="s">
        <v>1713</v>
      </c>
    </row>
    <row r="81" spans="1:5" ht="15" customHeight="1" x14ac:dyDescent="0.3">
      <c r="A81" s="49">
        <v>7</v>
      </c>
      <c r="B81" s="39" t="s">
        <v>15</v>
      </c>
      <c r="C81" s="19" t="s">
        <v>1719</v>
      </c>
      <c r="D81" s="66" t="s">
        <v>1720</v>
      </c>
      <c r="E81" s="49" t="s">
        <v>1713</v>
      </c>
    </row>
    <row r="82" spans="1:5" ht="15" customHeight="1" x14ac:dyDescent="0.3">
      <c r="A82" s="49">
        <v>8</v>
      </c>
      <c r="B82" s="39" t="s">
        <v>15</v>
      </c>
      <c r="C82" s="19" t="s">
        <v>761</v>
      </c>
      <c r="D82" s="66" t="s">
        <v>1721</v>
      </c>
      <c r="E82" s="49" t="s">
        <v>1713</v>
      </c>
    </row>
    <row r="83" spans="1:5" ht="15" customHeight="1" x14ac:dyDescent="0.3">
      <c r="A83" s="49">
        <v>9</v>
      </c>
      <c r="B83" s="39" t="s">
        <v>17</v>
      </c>
      <c r="C83" s="19" t="s">
        <v>1401</v>
      </c>
      <c r="D83" s="66" t="s">
        <v>1722</v>
      </c>
      <c r="E83" s="49" t="s">
        <v>1713</v>
      </c>
    </row>
    <row r="84" spans="1:5" ht="15" customHeight="1" x14ac:dyDescent="0.3">
      <c r="A84" s="49">
        <v>10</v>
      </c>
      <c r="B84" s="39" t="s">
        <v>1648</v>
      </c>
      <c r="C84" s="54" t="s">
        <v>1692</v>
      </c>
      <c r="D84" s="66" t="s">
        <v>1723</v>
      </c>
      <c r="E84" s="49" t="s">
        <v>1713</v>
      </c>
    </row>
    <row r="85" spans="1:5" ht="15" customHeight="1" x14ac:dyDescent="0.4">
      <c r="A85" s="3"/>
      <c r="B85" s="3"/>
      <c r="C85" s="3"/>
      <c r="D85" s="3"/>
      <c r="E85" s="3"/>
    </row>
    <row r="86" spans="1:5" ht="17.100000000000001" customHeight="1" x14ac:dyDescent="0.4">
      <c r="A86" s="3" t="s">
        <v>1724</v>
      </c>
      <c r="B86" s="3"/>
      <c r="C86" s="3"/>
      <c r="D86" s="3"/>
      <c r="E86" s="3"/>
    </row>
    <row r="87" spans="1:5" ht="17.100000000000001" customHeight="1" x14ac:dyDescent="0.4">
      <c r="A87" s="69" t="s">
        <v>1725</v>
      </c>
      <c r="B87" s="3"/>
      <c r="C87" s="3"/>
      <c r="D87" s="3"/>
      <c r="E87" s="3"/>
    </row>
    <row r="88" spans="1:5" ht="15" customHeight="1" x14ac:dyDescent="0.4">
      <c r="A88" s="3"/>
      <c r="B88" s="71" t="s">
        <v>1726</v>
      </c>
      <c r="C88" s="3"/>
      <c r="D88" s="3"/>
      <c r="E88" s="3"/>
    </row>
    <row r="89" spans="1:5" ht="31.2" customHeight="1" x14ac:dyDescent="0.3">
      <c r="A89" s="49">
        <v>1</v>
      </c>
      <c r="B89" s="39" t="s">
        <v>11</v>
      </c>
      <c r="C89" s="19" t="s">
        <v>154</v>
      </c>
      <c r="D89" s="43" t="s">
        <v>1727</v>
      </c>
      <c r="E89" s="49" t="s">
        <v>1728</v>
      </c>
    </row>
    <row r="90" spans="1:5" ht="16.5" customHeight="1" x14ac:dyDescent="0.3">
      <c r="A90" s="49">
        <v>2</v>
      </c>
      <c r="B90" s="39" t="s">
        <v>11</v>
      </c>
      <c r="C90" s="19" t="s">
        <v>145</v>
      </c>
      <c r="D90" s="43" t="s">
        <v>1729</v>
      </c>
      <c r="E90" s="49" t="s">
        <v>1730</v>
      </c>
    </row>
    <row r="91" spans="1:5" ht="16.5" customHeight="1" x14ac:dyDescent="0.3">
      <c r="A91" s="49">
        <v>3</v>
      </c>
      <c r="B91" s="39" t="s">
        <v>11</v>
      </c>
      <c r="C91" s="19" t="s">
        <v>272</v>
      </c>
      <c r="D91" s="43" t="s">
        <v>1731</v>
      </c>
      <c r="E91" s="49" t="s">
        <v>1732</v>
      </c>
    </row>
    <row r="92" spans="1:5" ht="16.5" customHeight="1" x14ac:dyDescent="0.3">
      <c r="A92" s="49">
        <v>4</v>
      </c>
      <c r="B92" s="39" t="s">
        <v>13</v>
      </c>
      <c r="C92" s="19" t="s">
        <v>154</v>
      </c>
      <c r="D92" s="43" t="s">
        <v>1733</v>
      </c>
      <c r="E92" s="49" t="s">
        <v>1728</v>
      </c>
    </row>
    <row r="93" spans="1:5" ht="16.5" customHeight="1" x14ac:dyDescent="0.3">
      <c r="A93" s="49">
        <v>5</v>
      </c>
      <c r="B93" s="39" t="s">
        <v>15</v>
      </c>
      <c r="C93" s="19" t="s">
        <v>1734</v>
      </c>
      <c r="D93" s="43" t="s">
        <v>1735</v>
      </c>
      <c r="E93" s="49" t="s">
        <v>1732</v>
      </c>
    </row>
    <row r="94" spans="1:5" ht="16.5" customHeight="1" x14ac:dyDescent="0.3">
      <c r="A94" s="49">
        <v>6</v>
      </c>
      <c r="B94" s="39" t="s">
        <v>15</v>
      </c>
      <c r="C94" s="19" t="s">
        <v>1193</v>
      </c>
      <c r="D94" s="43" t="s">
        <v>1736</v>
      </c>
      <c r="E94" s="49" t="s">
        <v>1728</v>
      </c>
    </row>
    <row r="95" spans="1:5" ht="16.5" customHeight="1" x14ac:dyDescent="0.3">
      <c r="A95" s="49">
        <v>7</v>
      </c>
      <c r="B95" s="39" t="s">
        <v>15</v>
      </c>
      <c r="C95" s="19" t="s">
        <v>413</v>
      </c>
      <c r="D95" s="43" t="s">
        <v>1737</v>
      </c>
      <c r="E95" s="49" t="s">
        <v>1728</v>
      </c>
    </row>
    <row r="96" spans="1:5" ht="16.5" customHeight="1" x14ac:dyDescent="0.3">
      <c r="A96" s="49">
        <v>8</v>
      </c>
      <c r="B96" s="39" t="s">
        <v>15</v>
      </c>
      <c r="C96" s="19" t="s">
        <v>599</v>
      </c>
      <c r="D96" s="43" t="s">
        <v>1738</v>
      </c>
      <c r="E96" s="49" t="s">
        <v>1739</v>
      </c>
    </row>
    <row r="97" spans="1:5" ht="16.5" customHeight="1" x14ac:dyDescent="0.3">
      <c r="A97" s="49">
        <v>9</v>
      </c>
      <c r="B97" s="39" t="s">
        <v>17</v>
      </c>
      <c r="C97" s="19" t="s">
        <v>1331</v>
      </c>
      <c r="D97" s="43" t="s">
        <v>1740</v>
      </c>
      <c r="E97" s="49" t="s">
        <v>1741</v>
      </c>
    </row>
    <row r="98" spans="1:5" ht="16.5" customHeight="1" x14ac:dyDescent="0.3">
      <c r="A98" s="49">
        <v>10</v>
      </c>
      <c r="B98" s="39" t="s">
        <v>17</v>
      </c>
      <c r="C98" s="19" t="s">
        <v>1340</v>
      </c>
      <c r="D98" s="43" t="s">
        <v>1742</v>
      </c>
      <c r="E98" s="49" t="s">
        <v>1743</v>
      </c>
    </row>
    <row r="99" spans="1:5" ht="16.5" customHeight="1" x14ac:dyDescent="0.3">
      <c r="A99" s="49">
        <v>11</v>
      </c>
      <c r="B99" s="39" t="s">
        <v>17</v>
      </c>
      <c r="C99" s="19" t="s">
        <v>1347</v>
      </c>
      <c r="D99" s="43" t="s">
        <v>1744</v>
      </c>
      <c r="E99" s="49" t="s">
        <v>1745</v>
      </c>
    </row>
    <row r="100" spans="1:5" ht="31.2" customHeight="1" x14ac:dyDescent="0.3">
      <c r="A100" s="49">
        <v>12</v>
      </c>
      <c r="B100" s="39" t="s">
        <v>19</v>
      </c>
      <c r="C100" s="19" t="s">
        <v>1746</v>
      </c>
      <c r="D100" s="43" t="s">
        <v>1747</v>
      </c>
      <c r="E100" s="49" t="s">
        <v>1748</v>
      </c>
    </row>
    <row r="101" spans="1:5" ht="16.5" customHeight="1" x14ac:dyDescent="0.3">
      <c r="A101" s="49">
        <v>13</v>
      </c>
      <c r="B101" s="39" t="s">
        <v>1648</v>
      </c>
      <c r="C101" s="19" t="s">
        <v>1708</v>
      </c>
      <c r="D101" s="43" t="s">
        <v>1749</v>
      </c>
      <c r="E101" s="49" t="s">
        <v>1750</v>
      </c>
    </row>
    <row r="102" spans="1:5" ht="16.5" customHeight="1" x14ac:dyDescent="0.3">
      <c r="A102" s="49">
        <v>14</v>
      </c>
      <c r="B102" s="39" t="s">
        <v>11</v>
      </c>
      <c r="C102" s="19" t="s">
        <v>1751</v>
      </c>
      <c r="D102" s="43" t="s">
        <v>1752</v>
      </c>
      <c r="E102" s="49" t="s">
        <v>1753</v>
      </c>
    </row>
    <row r="103" spans="1:5" ht="31.2" customHeight="1" x14ac:dyDescent="0.3">
      <c r="A103" s="49">
        <v>15</v>
      </c>
      <c r="B103" s="39" t="s">
        <v>11</v>
      </c>
      <c r="C103" s="19" t="s">
        <v>1754</v>
      </c>
      <c r="D103" s="43" t="s">
        <v>1755</v>
      </c>
      <c r="E103" s="49" t="s">
        <v>1756</v>
      </c>
    </row>
    <row r="104" spans="1:5" ht="16.5" customHeight="1" x14ac:dyDescent="0.3">
      <c r="A104" s="49">
        <v>16</v>
      </c>
      <c r="B104" s="39" t="s">
        <v>11</v>
      </c>
      <c r="C104" s="19" t="s">
        <v>163</v>
      </c>
      <c r="D104" s="43" t="s">
        <v>1757</v>
      </c>
      <c r="E104" s="49" t="s">
        <v>1758</v>
      </c>
    </row>
    <row r="105" spans="1:5" ht="16.5" customHeight="1" x14ac:dyDescent="0.3">
      <c r="A105" s="49">
        <v>17</v>
      </c>
      <c r="B105" s="39" t="s">
        <v>11</v>
      </c>
      <c r="C105" s="19" t="s">
        <v>1759</v>
      </c>
      <c r="D105" s="43" t="s">
        <v>1760</v>
      </c>
      <c r="E105" s="49" t="s">
        <v>1761</v>
      </c>
    </row>
    <row r="106" spans="1:5" ht="16.5" customHeight="1" x14ac:dyDescent="0.3">
      <c r="A106" s="49">
        <v>18</v>
      </c>
      <c r="B106" s="39" t="s">
        <v>11</v>
      </c>
      <c r="C106" s="19" t="s">
        <v>1762</v>
      </c>
      <c r="D106" s="43" t="s">
        <v>1763</v>
      </c>
      <c r="E106" s="49" t="s">
        <v>1764</v>
      </c>
    </row>
    <row r="107" spans="1:5" ht="16.5" customHeight="1" x14ac:dyDescent="0.3">
      <c r="A107" s="49">
        <v>19</v>
      </c>
      <c r="B107" s="39" t="s">
        <v>11</v>
      </c>
      <c r="C107" s="19" t="s">
        <v>317</v>
      </c>
      <c r="D107" s="43" t="s">
        <v>1765</v>
      </c>
      <c r="E107" s="49" t="s">
        <v>1766</v>
      </c>
    </row>
    <row r="108" spans="1:5" ht="16.5" customHeight="1" x14ac:dyDescent="0.3">
      <c r="A108" s="49">
        <v>20</v>
      </c>
      <c r="B108" s="39" t="s">
        <v>13</v>
      </c>
      <c r="C108" s="19" t="s">
        <v>317</v>
      </c>
      <c r="D108" s="43" t="s">
        <v>1767</v>
      </c>
      <c r="E108" s="49" t="s">
        <v>1768</v>
      </c>
    </row>
    <row r="109" spans="1:5" ht="16.5" customHeight="1" x14ac:dyDescent="0.3">
      <c r="A109" s="49">
        <v>21</v>
      </c>
      <c r="B109" s="39" t="s">
        <v>13</v>
      </c>
      <c r="C109" s="19" t="s">
        <v>145</v>
      </c>
      <c r="D109" s="43" t="s">
        <v>1769</v>
      </c>
      <c r="E109" s="49" t="s">
        <v>1770</v>
      </c>
    </row>
    <row r="110" spans="1:5" ht="31.2" customHeight="1" x14ac:dyDescent="0.3">
      <c r="A110" s="49">
        <v>22</v>
      </c>
      <c r="B110" s="39" t="s">
        <v>13</v>
      </c>
      <c r="C110" s="19" t="s">
        <v>1771</v>
      </c>
      <c r="D110" s="43" t="s">
        <v>1772</v>
      </c>
      <c r="E110" s="49" t="s">
        <v>1768</v>
      </c>
    </row>
    <row r="111" spans="1:5" ht="31.2" customHeight="1" x14ac:dyDescent="0.3">
      <c r="A111" s="49">
        <v>23</v>
      </c>
      <c r="B111" s="39" t="s">
        <v>13</v>
      </c>
      <c r="C111" s="19" t="s">
        <v>1773</v>
      </c>
      <c r="D111" s="43" t="s">
        <v>1774</v>
      </c>
      <c r="E111" s="49" t="s">
        <v>1775</v>
      </c>
    </row>
    <row r="112" spans="1:5" ht="16.5" customHeight="1" x14ac:dyDescent="0.3">
      <c r="A112" s="49">
        <v>24</v>
      </c>
      <c r="B112" s="39" t="s">
        <v>13</v>
      </c>
      <c r="C112" s="19" t="s">
        <v>1751</v>
      </c>
      <c r="D112" s="43" t="s">
        <v>1776</v>
      </c>
      <c r="E112" s="49" t="s">
        <v>1768</v>
      </c>
    </row>
    <row r="113" spans="1:5" ht="16.5" customHeight="1" x14ac:dyDescent="0.3">
      <c r="A113" s="49">
        <v>25</v>
      </c>
      <c r="B113" s="39" t="s">
        <v>13</v>
      </c>
      <c r="C113" s="19" t="s">
        <v>1777</v>
      </c>
      <c r="D113" s="43" t="s">
        <v>1778</v>
      </c>
      <c r="E113" s="49" t="s">
        <v>1779</v>
      </c>
    </row>
    <row r="114" spans="1:5" ht="16.5" customHeight="1" x14ac:dyDescent="0.3">
      <c r="A114" s="49">
        <v>26</v>
      </c>
      <c r="B114" s="39" t="s">
        <v>15</v>
      </c>
      <c r="C114" s="19" t="s">
        <v>1780</v>
      </c>
      <c r="D114" s="43" t="s">
        <v>1781</v>
      </c>
      <c r="E114" s="49" t="s">
        <v>1764</v>
      </c>
    </row>
    <row r="115" spans="1:5" ht="16.5" customHeight="1" x14ac:dyDescent="0.3">
      <c r="A115" s="49">
        <v>27</v>
      </c>
      <c r="B115" s="39" t="s">
        <v>15</v>
      </c>
      <c r="C115" s="19" t="s">
        <v>1782</v>
      </c>
      <c r="D115" s="43" t="s">
        <v>1783</v>
      </c>
      <c r="E115" s="49" t="s">
        <v>1775</v>
      </c>
    </row>
    <row r="116" spans="1:5" ht="31.2" customHeight="1" x14ac:dyDescent="0.3">
      <c r="A116" s="49">
        <v>28</v>
      </c>
      <c r="B116" s="39" t="s">
        <v>15</v>
      </c>
      <c r="C116" s="19" t="s">
        <v>638</v>
      </c>
      <c r="D116" s="43" t="s">
        <v>1784</v>
      </c>
      <c r="E116" s="49" t="s">
        <v>1785</v>
      </c>
    </row>
    <row r="117" spans="1:5" ht="16.5" customHeight="1" x14ac:dyDescent="0.3">
      <c r="A117" s="49">
        <v>29</v>
      </c>
      <c r="B117" s="39" t="s">
        <v>15</v>
      </c>
      <c r="C117" s="19" t="s">
        <v>537</v>
      </c>
      <c r="D117" s="43" t="s">
        <v>1786</v>
      </c>
      <c r="E117" s="49" t="s">
        <v>1787</v>
      </c>
    </row>
    <row r="118" spans="1:5" ht="16.5" customHeight="1" x14ac:dyDescent="0.3">
      <c r="A118" s="49">
        <v>30</v>
      </c>
      <c r="B118" s="39" t="s">
        <v>15</v>
      </c>
      <c r="C118" s="19" t="s">
        <v>761</v>
      </c>
      <c r="D118" s="43" t="s">
        <v>1788</v>
      </c>
      <c r="E118" s="49" t="s">
        <v>1789</v>
      </c>
    </row>
    <row r="119" spans="1:5" ht="16.5" customHeight="1" x14ac:dyDescent="0.3">
      <c r="A119" s="49">
        <v>31</v>
      </c>
      <c r="B119" s="39" t="s">
        <v>15</v>
      </c>
      <c r="C119" s="19" t="s">
        <v>1790</v>
      </c>
      <c r="D119" s="43" t="s">
        <v>1791</v>
      </c>
      <c r="E119" s="49" t="s">
        <v>1792</v>
      </c>
    </row>
    <row r="120" spans="1:5" ht="16.5" customHeight="1" x14ac:dyDescent="0.3">
      <c r="A120" s="49">
        <v>32</v>
      </c>
      <c r="B120" s="39" t="s">
        <v>15</v>
      </c>
      <c r="C120" s="19" t="s">
        <v>1101</v>
      </c>
      <c r="D120" s="43" t="s">
        <v>1793</v>
      </c>
      <c r="E120" s="49" t="s">
        <v>1766</v>
      </c>
    </row>
    <row r="121" spans="1:5" ht="16.5" customHeight="1" x14ac:dyDescent="0.3">
      <c r="A121" s="49">
        <v>33</v>
      </c>
      <c r="B121" s="39" t="s">
        <v>15</v>
      </c>
      <c r="C121" s="19" t="s">
        <v>1794</v>
      </c>
      <c r="D121" s="43" t="s">
        <v>1795</v>
      </c>
      <c r="E121" s="49" t="s">
        <v>1779</v>
      </c>
    </row>
    <row r="122" spans="1:5" ht="16.5" customHeight="1" x14ac:dyDescent="0.3">
      <c r="A122" s="49">
        <v>34</v>
      </c>
      <c r="B122" s="39" t="s">
        <v>17</v>
      </c>
      <c r="C122" s="19" t="s">
        <v>1796</v>
      </c>
      <c r="D122" s="43" t="s">
        <v>1797</v>
      </c>
      <c r="E122" s="49" t="s">
        <v>1775</v>
      </c>
    </row>
    <row r="123" spans="1:5" ht="16.5" customHeight="1" x14ac:dyDescent="0.3">
      <c r="A123" s="49">
        <v>35</v>
      </c>
      <c r="B123" s="39" t="s">
        <v>17</v>
      </c>
      <c r="C123" s="19" t="s">
        <v>1798</v>
      </c>
      <c r="D123" s="43" t="s">
        <v>1799</v>
      </c>
      <c r="E123" s="49" t="s">
        <v>1779</v>
      </c>
    </row>
    <row r="124" spans="1:5" ht="16.5" customHeight="1" x14ac:dyDescent="0.3">
      <c r="A124" s="49">
        <v>36</v>
      </c>
      <c r="B124" s="39" t="s">
        <v>19</v>
      </c>
      <c r="C124" s="19" t="s">
        <v>1800</v>
      </c>
      <c r="D124" s="43" t="s">
        <v>1801</v>
      </c>
      <c r="E124" s="49" t="s">
        <v>1764</v>
      </c>
    </row>
    <row r="125" spans="1:5" ht="31.2" customHeight="1" x14ac:dyDescent="0.3">
      <c r="A125" s="49">
        <v>37</v>
      </c>
      <c r="B125" s="39" t="s">
        <v>19</v>
      </c>
      <c r="C125" s="19" t="s">
        <v>1802</v>
      </c>
      <c r="D125" s="43" t="s">
        <v>1803</v>
      </c>
      <c r="E125" s="49" t="s">
        <v>1792</v>
      </c>
    </row>
    <row r="126" spans="1:5" ht="16.5" customHeight="1" x14ac:dyDescent="0.3">
      <c r="A126" s="49">
        <v>38</v>
      </c>
      <c r="B126" s="39" t="s">
        <v>1622</v>
      </c>
      <c r="C126" s="19" t="s">
        <v>1804</v>
      </c>
      <c r="D126" s="43" t="s">
        <v>1805</v>
      </c>
      <c r="E126" s="49" t="s">
        <v>1806</v>
      </c>
    </row>
    <row r="127" spans="1:5" ht="16.5" customHeight="1" x14ac:dyDescent="0.3">
      <c r="A127" s="49">
        <v>39</v>
      </c>
      <c r="B127" s="39" t="s">
        <v>1622</v>
      </c>
      <c r="C127" s="19" t="s">
        <v>1628</v>
      </c>
      <c r="D127" s="43" t="s">
        <v>1807</v>
      </c>
      <c r="E127" s="49" t="s">
        <v>1775</v>
      </c>
    </row>
    <row r="128" spans="1:5" ht="16.5" customHeight="1" x14ac:dyDescent="0.3">
      <c r="A128" s="49">
        <v>40</v>
      </c>
      <c r="B128" s="39" t="s">
        <v>23</v>
      </c>
      <c r="C128" s="19" t="s">
        <v>1808</v>
      </c>
      <c r="D128" s="43" t="s">
        <v>1809</v>
      </c>
      <c r="E128" s="49" t="s">
        <v>1764</v>
      </c>
    </row>
    <row r="129" spans="1:5" ht="16.5" customHeight="1" x14ac:dyDescent="0.3">
      <c r="A129" s="49">
        <v>41</v>
      </c>
      <c r="B129" s="39" t="s">
        <v>1810</v>
      </c>
      <c r="C129" s="19" t="s">
        <v>1811</v>
      </c>
      <c r="D129" s="43" t="s">
        <v>1812</v>
      </c>
      <c r="E129" s="49" t="s">
        <v>1779</v>
      </c>
    </row>
    <row r="130" spans="1:5" ht="17.100000000000001" customHeight="1" x14ac:dyDescent="0.4">
      <c r="A130" s="69" t="s">
        <v>1813</v>
      </c>
      <c r="B130" s="3"/>
      <c r="C130" s="3"/>
      <c r="D130" s="3"/>
      <c r="E130" s="3"/>
    </row>
    <row r="131" spans="1:5" ht="17.100000000000001" customHeight="1" x14ac:dyDescent="0.4">
      <c r="A131" s="69" t="s">
        <v>1814</v>
      </c>
      <c r="B131" s="3"/>
      <c r="C131" s="3"/>
      <c r="D131" s="3"/>
      <c r="E131" s="3"/>
    </row>
    <row r="132" spans="1:5" ht="15" customHeight="1" x14ac:dyDescent="0.4">
      <c r="A132" s="3"/>
      <c r="B132" s="71" t="s">
        <v>1815</v>
      </c>
      <c r="C132" s="3"/>
      <c r="D132" s="3"/>
      <c r="E132" s="3"/>
    </row>
    <row r="133" spans="1:5" ht="31.2" customHeight="1" x14ac:dyDescent="0.3">
      <c r="A133" s="49">
        <v>1</v>
      </c>
      <c r="B133" s="39" t="s">
        <v>11</v>
      </c>
      <c r="C133" s="19" t="s">
        <v>272</v>
      </c>
      <c r="D133" s="43" t="s">
        <v>1816</v>
      </c>
      <c r="E133" s="49" t="s">
        <v>1817</v>
      </c>
    </row>
    <row r="134" spans="1:5" ht="16.5" customHeight="1" x14ac:dyDescent="0.3">
      <c r="A134" s="49">
        <v>2</v>
      </c>
      <c r="B134" s="39" t="s">
        <v>17</v>
      </c>
      <c r="C134" s="19" t="s">
        <v>1340</v>
      </c>
      <c r="D134" s="43" t="s">
        <v>1818</v>
      </c>
      <c r="E134" s="49" t="s">
        <v>1817</v>
      </c>
    </row>
    <row r="135" spans="1:5" ht="31.2" customHeight="1" x14ac:dyDescent="0.3">
      <c r="A135" s="49">
        <v>3</v>
      </c>
      <c r="B135" s="39" t="s">
        <v>11</v>
      </c>
      <c r="C135" s="19" t="s">
        <v>154</v>
      </c>
      <c r="D135" s="43" t="s">
        <v>1819</v>
      </c>
      <c r="E135" s="49" t="s">
        <v>1817</v>
      </c>
    </row>
    <row r="136" spans="1:5" ht="16.5" customHeight="1" x14ac:dyDescent="0.3">
      <c r="A136" s="49">
        <v>4</v>
      </c>
      <c r="B136" s="39" t="s">
        <v>17</v>
      </c>
      <c r="C136" s="19" t="s">
        <v>1347</v>
      </c>
      <c r="D136" s="43" t="s">
        <v>1820</v>
      </c>
      <c r="E136" s="49" t="s">
        <v>1817</v>
      </c>
    </row>
    <row r="137" spans="1:5" ht="31.2" customHeight="1" x14ac:dyDescent="0.3">
      <c r="A137" s="49">
        <v>5</v>
      </c>
      <c r="B137" s="39" t="s">
        <v>1821</v>
      </c>
      <c r="C137" s="19" t="s">
        <v>1822</v>
      </c>
      <c r="D137" s="43" t="s">
        <v>1823</v>
      </c>
      <c r="E137" s="49" t="s">
        <v>1817</v>
      </c>
    </row>
    <row r="138" spans="1:5" ht="16.5" customHeight="1" x14ac:dyDescent="0.3">
      <c r="A138" s="49">
        <v>6</v>
      </c>
      <c r="B138" s="39" t="s">
        <v>13</v>
      </c>
      <c r="C138" s="19" t="s">
        <v>154</v>
      </c>
      <c r="D138" s="43" t="s">
        <v>1824</v>
      </c>
      <c r="E138" s="49" t="s">
        <v>1817</v>
      </c>
    </row>
    <row r="139" spans="1:5" ht="31.2" customHeight="1" x14ac:dyDescent="0.3">
      <c r="A139" s="49">
        <v>7</v>
      </c>
      <c r="B139" s="39" t="s">
        <v>17</v>
      </c>
      <c r="C139" s="19" t="s">
        <v>1331</v>
      </c>
      <c r="D139" s="43" t="s">
        <v>1825</v>
      </c>
      <c r="E139" s="49" t="s">
        <v>1817</v>
      </c>
    </row>
    <row r="140" spans="1:5" ht="31.2" customHeight="1" x14ac:dyDescent="0.3">
      <c r="A140" s="49">
        <v>8</v>
      </c>
      <c r="B140" s="39" t="s">
        <v>15</v>
      </c>
      <c r="C140" s="19" t="s">
        <v>1826</v>
      </c>
      <c r="D140" s="43" t="s">
        <v>1827</v>
      </c>
      <c r="E140" s="49" t="s">
        <v>1817</v>
      </c>
    </row>
    <row r="141" spans="1:5" ht="62.4" customHeight="1" x14ac:dyDescent="0.3">
      <c r="A141" s="49">
        <v>9</v>
      </c>
      <c r="B141" s="39" t="s">
        <v>15</v>
      </c>
      <c r="C141" s="19" t="s">
        <v>1734</v>
      </c>
      <c r="D141" s="43" t="s">
        <v>1828</v>
      </c>
      <c r="E141" s="49" t="s">
        <v>1829</v>
      </c>
    </row>
    <row r="142" spans="1:5" ht="16.5" customHeight="1" x14ac:dyDescent="0.3">
      <c r="A142" s="49">
        <v>10</v>
      </c>
      <c r="B142" s="39" t="s">
        <v>15</v>
      </c>
      <c r="C142" s="19" t="s">
        <v>717</v>
      </c>
      <c r="D142" s="43" t="s">
        <v>1830</v>
      </c>
      <c r="E142" s="49" t="s">
        <v>1829</v>
      </c>
    </row>
    <row r="143" spans="1:5" ht="16.5" customHeight="1" x14ac:dyDescent="0.3">
      <c r="A143" s="49">
        <v>11</v>
      </c>
      <c r="B143" s="39" t="s">
        <v>19</v>
      </c>
      <c r="C143" s="19" t="s">
        <v>1500</v>
      </c>
      <c r="D143" s="43" t="s">
        <v>1831</v>
      </c>
      <c r="E143" s="49" t="s">
        <v>1829</v>
      </c>
    </row>
    <row r="144" spans="1:5" ht="31.2" customHeight="1" x14ac:dyDescent="0.3">
      <c r="A144" s="49">
        <v>12</v>
      </c>
      <c r="B144" s="39" t="s">
        <v>11</v>
      </c>
      <c r="C144" s="19" t="s">
        <v>1832</v>
      </c>
      <c r="D144" s="43" t="s">
        <v>1833</v>
      </c>
      <c r="E144" s="49" t="s">
        <v>1829</v>
      </c>
    </row>
    <row r="145" spans="1:5" ht="16.5" customHeight="1" x14ac:dyDescent="0.3">
      <c r="A145" s="49">
        <v>13</v>
      </c>
      <c r="B145" s="39" t="s">
        <v>13</v>
      </c>
      <c r="C145" s="19" t="s">
        <v>1834</v>
      </c>
      <c r="D145" s="43" t="s">
        <v>1835</v>
      </c>
      <c r="E145" s="49" t="s">
        <v>1829</v>
      </c>
    </row>
    <row r="146" spans="1:5" ht="16.5" customHeight="1" x14ac:dyDescent="0.3">
      <c r="A146" s="49">
        <v>14</v>
      </c>
      <c r="B146" s="39" t="s">
        <v>1648</v>
      </c>
      <c r="C146" s="19" t="s">
        <v>1708</v>
      </c>
      <c r="D146" s="43" t="s">
        <v>1836</v>
      </c>
      <c r="E146" s="49" t="s">
        <v>270</v>
      </c>
    </row>
    <row r="147" spans="1:5" ht="17.100000000000001" customHeight="1" x14ac:dyDescent="0.4">
      <c r="A147" s="69" t="s">
        <v>1837</v>
      </c>
      <c r="B147" s="3"/>
      <c r="C147" s="3"/>
      <c r="D147" s="3"/>
      <c r="E147" s="3"/>
    </row>
    <row r="148" spans="1:5" ht="17.100000000000001" customHeight="1" x14ac:dyDescent="0.4">
      <c r="A148" s="69" t="s">
        <v>1838</v>
      </c>
      <c r="B148" s="3"/>
      <c r="C148" s="3"/>
      <c r="D148" s="3"/>
      <c r="E148" s="3"/>
    </row>
    <row r="149" spans="1:5" ht="15" customHeight="1" x14ac:dyDescent="0.4">
      <c r="A149" s="3"/>
      <c r="B149" s="71" t="s">
        <v>1839</v>
      </c>
      <c r="C149" s="3"/>
      <c r="D149" s="3"/>
      <c r="E149" s="3"/>
    </row>
    <row r="150" spans="1:5" ht="31.2" customHeight="1" x14ac:dyDescent="0.3">
      <c r="A150" s="49">
        <v>1</v>
      </c>
      <c r="B150" s="39" t="s">
        <v>15</v>
      </c>
      <c r="C150" s="19" t="s">
        <v>717</v>
      </c>
      <c r="D150" s="43" t="s">
        <v>1840</v>
      </c>
      <c r="E150" s="49" t="s">
        <v>1841</v>
      </c>
    </row>
    <row r="151" spans="1:5" ht="16.5" customHeight="1" x14ac:dyDescent="0.3">
      <c r="A151" s="49">
        <v>2</v>
      </c>
      <c r="B151" s="39" t="s">
        <v>19</v>
      </c>
      <c r="C151" s="19" t="s">
        <v>1500</v>
      </c>
      <c r="D151" s="43" t="s">
        <v>1842</v>
      </c>
      <c r="E151" s="49" t="s">
        <v>1843</v>
      </c>
    </row>
    <row r="152" spans="1:5" ht="16.5" customHeight="1" x14ac:dyDescent="0.3">
      <c r="A152" s="49">
        <v>3</v>
      </c>
      <c r="B152" s="39" t="s">
        <v>17</v>
      </c>
      <c r="C152" s="19" t="s">
        <v>1392</v>
      </c>
      <c r="D152" s="43" t="s">
        <v>1844</v>
      </c>
      <c r="E152" s="49" t="s">
        <v>1845</v>
      </c>
    </row>
    <row r="153" spans="1:5" ht="16.5" customHeight="1" x14ac:dyDescent="0.3">
      <c r="A153" s="49">
        <v>4</v>
      </c>
      <c r="B153" s="39" t="s">
        <v>15</v>
      </c>
      <c r="C153" s="19" t="s">
        <v>818</v>
      </c>
      <c r="D153" s="43" t="s">
        <v>1846</v>
      </c>
      <c r="E153" s="49" t="s">
        <v>1847</v>
      </c>
    </row>
    <row r="154" spans="1:5" ht="31.2" customHeight="1" x14ac:dyDescent="0.3">
      <c r="A154" s="49">
        <v>5</v>
      </c>
      <c r="B154" s="39" t="s">
        <v>1848</v>
      </c>
      <c r="C154" s="19" t="s">
        <v>145</v>
      </c>
      <c r="D154" s="43" t="s">
        <v>1849</v>
      </c>
      <c r="E154" s="49" t="s">
        <v>1850</v>
      </c>
    </row>
    <row r="155" spans="1:5" ht="16.5" customHeight="1" x14ac:dyDescent="0.3">
      <c r="A155" s="49">
        <v>6</v>
      </c>
      <c r="B155" s="39" t="s">
        <v>15</v>
      </c>
      <c r="C155" s="19" t="s">
        <v>1734</v>
      </c>
      <c r="D155" s="43" t="s">
        <v>1851</v>
      </c>
      <c r="E155" s="49" t="s">
        <v>1852</v>
      </c>
    </row>
    <row r="156" spans="1:5" ht="31.2" customHeight="1" x14ac:dyDescent="0.3">
      <c r="A156" s="49">
        <v>7</v>
      </c>
      <c r="B156" s="39" t="s">
        <v>1853</v>
      </c>
      <c r="C156" s="19" t="s">
        <v>1854</v>
      </c>
      <c r="D156" s="43" t="s">
        <v>1855</v>
      </c>
      <c r="E156" s="49" t="s">
        <v>1856</v>
      </c>
    </row>
    <row r="157" spans="1:5" ht="31.2" customHeight="1" x14ac:dyDescent="0.3">
      <c r="A157" s="49">
        <v>8</v>
      </c>
      <c r="B157" s="39" t="s">
        <v>1857</v>
      </c>
      <c r="C157" s="19" t="s">
        <v>1858</v>
      </c>
      <c r="D157" s="43" t="s">
        <v>1859</v>
      </c>
      <c r="E157" s="49" t="s">
        <v>1860</v>
      </c>
    </row>
    <row r="158" spans="1:5" ht="16.5" customHeight="1" x14ac:dyDescent="0.3">
      <c r="A158" s="49">
        <v>9</v>
      </c>
      <c r="B158" s="39" t="s">
        <v>15</v>
      </c>
      <c r="C158" s="19" t="s">
        <v>740</v>
      </c>
      <c r="D158" s="43" t="s">
        <v>1861</v>
      </c>
      <c r="E158" s="49" t="s">
        <v>1862</v>
      </c>
    </row>
    <row r="159" spans="1:5" ht="46.8" customHeight="1" x14ac:dyDescent="0.3">
      <c r="A159" s="49">
        <v>10</v>
      </c>
      <c r="B159" s="39" t="s">
        <v>1863</v>
      </c>
      <c r="C159" s="19" t="s">
        <v>1864</v>
      </c>
      <c r="D159" s="43" t="s">
        <v>1865</v>
      </c>
      <c r="E159" s="49" t="s">
        <v>1866</v>
      </c>
    </row>
    <row r="160" spans="1:5" ht="16.5" customHeight="1" x14ac:dyDescent="0.3">
      <c r="A160" s="49">
        <v>11</v>
      </c>
      <c r="B160" s="39" t="s">
        <v>1648</v>
      </c>
      <c r="C160" s="19" t="s">
        <v>1708</v>
      </c>
      <c r="D160" s="43" t="s">
        <v>1867</v>
      </c>
      <c r="E160" s="49" t="s">
        <v>1868</v>
      </c>
    </row>
    <row r="161" spans="1:5" ht="17.100000000000001" customHeight="1" x14ac:dyDescent="0.4">
      <c r="A161" s="69" t="s">
        <v>1869</v>
      </c>
      <c r="B161" s="3"/>
      <c r="C161" s="3"/>
      <c r="D161" s="3"/>
      <c r="E161" s="3"/>
    </row>
    <row r="162" spans="1:5" ht="17.100000000000001" customHeight="1" x14ac:dyDescent="0.4">
      <c r="A162" s="69" t="s">
        <v>1870</v>
      </c>
      <c r="B162" s="3"/>
      <c r="C162" s="3"/>
      <c r="D162" s="3"/>
      <c r="E162" s="3"/>
    </row>
    <row r="163" spans="1:5" ht="15" customHeight="1" x14ac:dyDescent="0.4">
      <c r="A163" s="3"/>
      <c r="B163" s="71" t="s">
        <v>1871</v>
      </c>
      <c r="C163" s="3"/>
      <c r="D163" s="3"/>
      <c r="E163" s="3"/>
    </row>
    <row r="164" spans="1:5" ht="46.8" customHeight="1" x14ac:dyDescent="0.3">
      <c r="A164" s="49">
        <v>1</v>
      </c>
      <c r="B164" s="39" t="s">
        <v>1810</v>
      </c>
      <c r="C164" s="19" t="s">
        <v>1872</v>
      </c>
      <c r="D164" s="43" t="s">
        <v>1873</v>
      </c>
      <c r="E164" s="49" t="s">
        <v>1874</v>
      </c>
    </row>
    <row r="165" spans="1:5" ht="31.2" customHeight="1" x14ac:dyDescent="0.3">
      <c r="A165" s="49">
        <v>2</v>
      </c>
      <c r="B165" s="39" t="s">
        <v>1648</v>
      </c>
      <c r="C165" s="19" t="s">
        <v>44</v>
      </c>
      <c r="D165" s="43" t="s">
        <v>1875</v>
      </c>
      <c r="E165" s="49" t="s">
        <v>1876</v>
      </c>
    </row>
    <row r="166" spans="1:5" ht="31.2" customHeight="1" x14ac:dyDescent="0.3">
      <c r="A166" s="49">
        <v>3</v>
      </c>
      <c r="B166" s="39" t="s">
        <v>1648</v>
      </c>
      <c r="C166" s="19" t="s">
        <v>61</v>
      </c>
      <c r="D166" s="43" t="s">
        <v>1877</v>
      </c>
      <c r="E166" s="49" t="s">
        <v>1876</v>
      </c>
    </row>
    <row r="167" spans="1:5" ht="15.6" customHeight="1" x14ac:dyDescent="0.3">
      <c r="A167" s="49">
        <v>4</v>
      </c>
      <c r="B167" s="39" t="s">
        <v>1648</v>
      </c>
      <c r="C167" s="19" t="s">
        <v>1878</v>
      </c>
      <c r="D167" s="43" t="s">
        <v>1879</v>
      </c>
      <c r="E167" s="49" t="s">
        <v>1880</v>
      </c>
    </row>
    <row r="168" spans="1:5" ht="15.6" customHeight="1" x14ac:dyDescent="0.3">
      <c r="A168" s="49">
        <v>5</v>
      </c>
      <c r="B168" s="39" t="s">
        <v>11</v>
      </c>
      <c r="C168" s="19" t="s">
        <v>1881</v>
      </c>
      <c r="D168" s="43" t="s">
        <v>1882</v>
      </c>
      <c r="E168" s="49" t="s">
        <v>1876</v>
      </c>
    </row>
    <row r="169" spans="1:5" ht="31.2" customHeight="1" x14ac:dyDescent="0.3">
      <c r="A169" s="49">
        <v>6</v>
      </c>
      <c r="B169" s="39" t="s">
        <v>1848</v>
      </c>
      <c r="C169" s="19" t="s">
        <v>1883</v>
      </c>
      <c r="D169" s="43" t="s">
        <v>1884</v>
      </c>
      <c r="E169" s="49" t="s">
        <v>1885</v>
      </c>
    </row>
    <row r="170" spans="1:5" ht="15.6" customHeight="1" x14ac:dyDescent="0.3">
      <c r="A170" s="49">
        <v>7</v>
      </c>
      <c r="B170" s="39" t="s">
        <v>11</v>
      </c>
      <c r="C170" s="19" t="s">
        <v>1886</v>
      </c>
      <c r="D170" s="43" t="s">
        <v>1887</v>
      </c>
      <c r="E170" s="49" t="s">
        <v>1888</v>
      </c>
    </row>
    <row r="171" spans="1:5" ht="31.2" customHeight="1" x14ac:dyDescent="0.3">
      <c r="A171" s="49">
        <v>8</v>
      </c>
      <c r="B171" s="39" t="s">
        <v>11</v>
      </c>
      <c r="C171" s="19" t="s">
        <v>190</v>
      </c>
      <c r="D171" s="43" t="s">
        <v>1889</v>
      </c>
      <c r="E171" s="49" t="s">
        <v>1890</v>
      </c>
    </row>
    <row r="172" spans="1:5" ht="15.6" customHeight="1" x14ac:dyDescent="0.3">
      <c r="A172" s="49">
        <v>9</v>
      </c>
      <c r="B172" s="39" t="s">
        <v>11</v>
      </c>
      <c r="C172" s="19" t="s">
        <v>1891</v>
      </c>
      <c r="D172" s="43" t="s">
        <v>1892</v>
      </c>
      <c r="E172" s="49" t="s">
        <v>1885</v>
      </c>
    </row>
    <row r="173" spans="1:5" ht="31.2" customHeight="1" x14ac:dyDescent="0.3">
      <c r="A173" s="49">
        <v>10</v>
      </c>
      <c r="B173" s="39" t="s">
        <v>11</v>
      </c>
      <c r="C173" s="19" t="s">
        <v>1893</v>
      </c>
      <c r="D173" s="43" t="s">
        <v>1894</v>
      </c>
      <c r="E173" s="49" t="s">
        <v>1888</v>
      </c>
    </row>
    <row r="174" spans="1:5" ht="15.6" customHeight="1" x14ac:dyDescent="0.3">
      <c r="A174" s="49">
        <v>11</v>
      </c>
      <c r="B174" s="39" t="s">
        <v>11</v>
      </c>
      <c r="C174" s="19" t="s">
        <v>145</v>
      </c>
      <c r="D174" s="43" t="s">
        <v>1895</v>
      </c>
      <c r="E174" s="49" t="s">
        <v>1896</v>
      </c>
    </row>
    <row r="175" spans="1:5" ht="31.2" customHeight="1" x14ac:dyDescent="0.3">
      <c r="A175" s="49">
        <v>12</v>
      </c>
      <c r="B175" s="39" t="s">
        <v>11</v>
      </c>
      <c r="C175" s="19" t="s">
        <v>1897</v>
      </c>
      <c r="D175" s="43" t="s">
        <v>1898</v>
      </c>
      <c r="E175" s="49" t="s">
        <v>1899</v>
      </c>
    </row>
    <row r="176" spans="1:5" ht="31.2" customHeight="1" x14ac:dyDescent="0.3">
      <c r="A176" s="49">
        <v>13</v>
      </c>
      <c r="B176" s="39" t="s">
        <v>11</v>
      </c>
      <c r="C176" s="19" t="s">
        <v>163</v>
      </c>
      <c r="D176" s="43" t="s">
        <v>1900</v>
      </c>
      <c r="E176" s="49" t="s">
        <v>1901</v>
      </c>
    </row>
    <row r="177" spans="1:5" ht="31.2" customHeight="1" x14ac:dyDescent="0.3">
      <c r="A177" s="49">
        <v>14</v>
      </c>
      <c r="B177" s="39" t="s">
        <v>1848</v>
      </c>
      <c r="C177" s="19" t="s">
        <v>1902</v>
      </c>
      <c r="D177" s="43" t="s">
        <v>1903</v>
      </c>
      <c r="E177" s="49" t="s">
        <v>1904</v>
      </c>
    </row>
    <row r="178" spans="1:5" ht="46.8" customHeight="1" x14ac:dyDescent="0.3">
      <c r="A178" s="49">
        <v>15</v>
      </c>
      <c r="B178" s="39" t="s">
        <v>1905</v>
      </c>
      <c r="C178" s="19" t="s">
        <v>1906</v>
      </c>
      <c r="D178" s="43" t="s">
        <v>1907</v>
      </c>
      <c r="E178" s="49" t="s">
        <v>1908</v>
      </c>
    </row>
    <row r="179" spans="1:5" ht="31.2" customHeight="1" x14ac:dyDescent="0.3">
      <c r="A179" s="49">
        <v>16</v>
      </c>
      <c r="B179" s="39" t="s">
        <v>1848</v>
      </c>
      <c r="C179" s="19" t="s">
        <v>1771</v>
      </c>
      <c r="D179" s="43" t="s">
        <v>1909</v>
      </c>
      <c r="E179" s="49" t="s">
        <v>1888</v>
      </c>
    </row>
    <row r="180" spans="1:5" ht="31.2" customHeight="1" x14ac:dyDescent="0.3">
      <c r="A180" s="49">
        <v>17</v>
      </c>
      <c r="B180" s="39" t="s">
        <v>1848</v>
      </c>
      <c r="C180" s="19" t="s">
        <v>300</v>
      </c>
      <c r="D180" s="43" t="s">
        <v>1910</v>
      </c>
      <c r="E180" s="49" t="s">
        <v>1911</v>
      </c>
    </row>
    <row r="181" spans="1:5" ht="15.6" customHeight="1" x14ac:dyDescent="0.3">
      <c r="A181" s="49">
        <v>18</v>
      </c>
      <c r="B181" s="39" t="s">
        <v>11</v>
      </c>
      <c r="C181" s="19" t="s">
        <v>291</v>
      </c>
      <c r="D181" s="43" t="s">
        <v>1912</v>
      </c>
      <c r="E181" s="49" t="s">
        <v>1913</v>
      </c>
    </row>
    <row r="182" spans="1:5" ht="62.4" customHeight="1" x14ac:dyDescent="0.3">
      <c r="A182" s="49">
        <v>19</v>
      </c>
      <c r="B182" s="39" t="s">
        <v>15</v>
      </c>
      <c r="C182" s="19" t="s">
        <v>761</v>
      </c>
      <c r="D182" s="43" t="s">
        <v>1914</v>
      </c>
      <c r="E182" s="49" t="s">
        <v>1876</v>
      </c>
    </row>
    <row r="183" spans="1:5" ht="31.2" customHeight="1" x14ac:dyDescent="0.3">
      <c r="A183" s="49">
        <v>20</v>
      </c>
      <c r="B183" s="39" t="s">
        <v>15</v>
      </c>
      <c r="C183" s="19" t="s">
        <v>755</v>
      </c>
      <c r="D183" s="43" t="s">
        <v>1915</v>
      </c>
      <c r="E183" s="49" t="s">
        <v>1876</v>
      </c>
    </row>
    <row r="184" spans="1:5" ht="31.2" customHeight="1" x14ac:dyDescent="0.3">
      <c r="A184" s="49">
        <v>21</v>
      </c>
      <c r="B184" s="39" t="s">
        <v>15</v>
      </c>
      <c r="C184" s="19" t="s">
        <v>818</v>
      </c>
      <c r="D184" s="43" t="s">
        <v>1916</v>
      </c>
      <c r="E184" s="49" t="s">
        <v>1917</v>
      </c>
    </row>
    <row r="185" spans="1:5" ht="46.8" customHeight="1" x14ac:dyDescent="0.3">
      <c r="A185" s="49">
        <v>22</v>
      </c>
      <c r="B185" s="39" t="s">
        <v>15</v>
      </c>
      <c r="C185" s="19" t="s">
        <v>1918</v>
      </c>
      <c r="D185" s="43" t="s">
        <v>1919</v>
      </c>
      <c r="E185" s="49" t="s">
        <v>1885</v>
      </c>
    </row>
    <row r="186" spans="1:5" ht="15.6" customHeight="1" x14ac:dyDescent="0.3">
      <c r="A186" s="49">
        <v>23</v>
      </c>
      <c r="B186" s="39" t="s">
        <v>15</v>
      </c>
      <c r="C186" s="19" t="s">
        <v>1101</v>
      </c>
      <c r="D186" s="43" t="s">
        <v>1920</v>
      </c>
      <c r="E186" s="49" t="s">
        <v>1885</v>
      </c>
    </row>
    <row r="187" spans="1:5" ht="78" customHeight="1" x14ac:dyDescent="0.3">
      <c r="A187" s="49">
        <v>24</v>
      </c>
      <c r="B187" s="39" t="s">
        <v>15</v>
      </c>
      <c r="C187" s="19" t="s">
        <v>1921</v>
      </c>
      <c r="D187" s="43" t="s">
        <v>1922</v>
      </c>
      <c r="E187" s="49" t="s">
        <v>1923</v>
      </c>
    </row>
    <row r="188" spans="1:5" ht="46.8" customHeight="1" x14ac:dyDescent="0.3">
      <c r="A188" s="49">
        <v>25</v>
      </c>
      <c r="B188" s="39" t="s">
        <v>15</v>
      </c>
      <c r="C188" s="19" t="s">
        <v>1924</v>
      </c>
      <c r="D188" s="43" t="s">
        <v>1925</v>
      </c>
      <c r="E188" s="49" t="s">
        <v>1901</v>
      </c>
    </row>
    <row r="189" spans="1:5" ht="46.8" customHeight="1" x14ac:dyDescent="0.3">
      <c r="A189" s="49">
        <v>26</v>
      </c>
      <c r="B189" s="39" t="s">
        <v>15</v>
      </c>
      <c r="C189" s="19" t="s">
        <v>1926</v>
      </c>
      <c r="D189" s="43" t="s">
        <v>1927</v>
      </c>
      <c r="E189" s="49" t="s">
        <v>1885</v>
      </c>
    </row>
    <row r="190" spans="1:5" ht="15.6" customHeight="1" x14ac:dyDescent="0.3">
      <c r="A190" s="49">
        <v>27</v>
      </c>
      <c r="B190" s="39" t="s">
        <v>17</v>
      </c>
      <c r="C190" s="19" t="s">
        <v>1363</v>
      </c>
      <c r="D190" s="43" t="s">
        <v>1928</v>
      </c>
      <c r="E190" s="49" t="s">
        <v>1904</v>
      </c>
    </row>
    <row r="191" spans="1:5" ht="31.2" customHeight="1" x14ac:dyDescent="0.3">
      <c r="A191" s="49">
        <v>28</v>
      </c>
      <c r="B191" s="39" t="s">
        <v>17</v>
      </c>
      <c r="C191" s="19" t="s">
        <v>1371</v>
      </c>
      <c r="D191" s="43" t="s">
        <v>1929</v>
      </c>
      <c r="E191" s="49" t="s">
        <v>1888</v>
      </c>
    </row>
    <row r="192" spans="1:5" ht="15.6" customHeight="1" x14ac:dyDescent="0.3">
      <c r="A192" s="49">
        <v>29</v>
      </c>
      <c r="B192" s="39" t="s">
        <v>17</v>
      </c>
      <c r="C192" s="19" t="s">
        <v>1379</v>
      </c>
      <c r="D192" s="43" t="s">
        <v>1930</v>
      </c>
      <c r="E192" s="49" t="s">
        <v>1931</v>
      </c>
    </row>
    <row r="193" spans="1:5" ht="31.2" customHeight="1" x14ac:dyDescent="0.3">
      <c r="A193" s="49">
        <v>30</v>
      </c>
      <c r="B193" s="39" t="s">
        <v>17</v>
      </c>
      <c r="C193" s="19" t="s">
        <v>1392</v>
      </c>
      <c r="D193" s="43" t="s">
        <v>1932</v>
      </c>
      <c r="E193" s="49" t="s">
        <v>1899</v>
      </c>
    </row>
    <row r="194" spans="1:5" ht="15.6" customHeight="1" x14ac:dyDescent="0.3">
      <c r="A194" s="49">
        <v>31</v>
      </c>
      <c r="B194" s="39" t="s">
        <v>17</v>
      </c>
      <c r="C194" s="19" t="s">
        <v>1405</v>
      </c>
      <c r="D194" s="43" t="s">
        <v>1933</v>
      </c>
      <c r="E194" s="49" t="s">
        <v>1876</v>
      </c>
    </row>
    <row r="195" spans="1:5" ht="15.6" customHeight="1" x14ac:dyDescent="0.3">
      <c r="A195" s="49">
        <v>32</v>
      </c>
      <c r="B195" s="39" t="s">
        <v>17</v>
      </c>
      <c r="C195" s="19" t="s">
        <v>1401</v>
      </c>
      <c r="D195" s="43" t="s">
        <v>1934</v>
      </c>
      <c r="E195" s="49" t="s">
        <v>1908</v>
      </c>
    </row>
    <row r="196" spans="1:5" ht="62.4" customHeight="1" x14ac:dyDescent="0.3">
      <c r="A196" s="49">
        <v>33</v>
      </c>
      <c r="B196" s="39" t="s">
        <v>19</v>
      </c>
      <c r="C196" s="19" t="s">
        <v>1935</v>
      </c>
      <c r="D196" s="43" t="s">
        <v>1936</v>
      </c>
      <c r="E196" s="49" t="s">
        <v>1880</v>
      </c>
    </row>
    <row r="197" spans="1:5" ht="46.8" customHeight="1" x14ac:dyDescent="0.3">
      <c r="A197" s="49">
        <v>34</v>
      </c>
      <c r="B197" s="39" t="s">
        <v>19</v>
      </c>
      <c r="C197" s="19" t="s">
        <v>1937</v>
      </c>
      <c r="D197" s="43" t="s">
        <v>1938</v>
      </c>
      <c r="E197" s="49" t="s">
        <v>1939</v>
      </c>
    </row>
    <row r="198" spans="1:5" ht="46.8" customHeight="1" x14ac:dyDescent="0.3">
      <c r="A198" s="49">
        <v>35</v>
      </c>
      <c r="B198" s="39" t="s">
        <v>19</v>
      </c>
      <c r="C198" s="19" t="s">
        <v>1940</v>
      </c>
      <c r="D198" s="43" t="s">
        <v>1941</v>
      </c>
      <c r="E198" s="49" t="s">
        <v>1942</v>
      </c>
    </row>
    <row r="199" spans="1:5" ht="31.2" customHeight="1" x14ac:dyDescent="0.3">
      <c r="A199" s="49">
        <v>36</v>
      </c>
      <c r="B199" s="39" t="s">
        <v>21</v>
      </c>
      <c r="C199" s="19" t="s">
        <v>1943</v>
      </c>
      <c r="D199" s="43" t="s">
        <v>1944</v>
      </c>
      <c r="E199" s="49" t="s">
        <v>1885</v>
      </c>
    </row>
    <row r="200" spans="1:5" ht="31.2" customHeight="1" x14ac:dyDescent="0.3">
      <c r="A200" s="49">
        <v>37</v>
      </c>
      <c r="B200" s="39" t="s">
        <v>17</v>
      </c>
      <c r="C200" s="19" t="s">
        <v>1945</v>
      </c>
      <c r="D200" s="43" t="s">
        <v>1946</v>
      </c>
      <c r="E200" s="49" t="s">
        <v>1779</v>
      </c>
    </row>
    <row r="201" spans="1:5" ht="17.100000000000001" customHeight="1" x14ac:dyDescent="0.4">
      <c r="A201" s="69" t="s">
        <v>1947</v>
      </c>
      <c r="B201" s="3"/>
      <c r="C201" s="3"/>
      <c r="D201" s="3"/>
      <c r="E201" s="3"/>
    </row>
    <row r="202" spans="1:5" ht="17.100000000000001" customHeight="1" x14ac:dyDescent="0.4">
      <c r="A202" s="69" t="s">
        <v>1948</v>
      </c>
      <c r="B202" s="3"/>
      <c r="C202" s="3"/>
      <c r="D202" s="3"/>
      <c r="E202" s="3"/>
    </row>
  </sheetData>
  <phoneticPr fontId="17" type="noConversion"/>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8</vt:i4>
      </vt:variant>
    </vt:vector>
  </HeadingPairs>
  <TitlesOfParts>
    <vt:vector size="8" baseType="lpstr">
      <vt:lpstr>1_개요</vt:lpstr>
      <vt:lpstr>2_Agent기능정의</vt:lpstr>
      <vt:lpstr>3_입출력변수명세</vt:lpstr>
      <vt:lpstr>4_타입정의</vt:lpstr>
      <vt:lpstr>5_규칙모듈</vt:lpstr>
      <vt:lpstr>6_오류코드</vt:lpstr>
      <vt:lpstr>7_재작성·재수행매핑</vt:lpstr>
      <vt:lpstr>8_변경이력</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SKN 32기_1</cp:lastModifiedBy>
  <cp:revision>0</cp:revision>
  <dcterms:created xsi:type="dcterms:W3CDTF">2026-09-07T08:14:25Z</dcterms:created>
  <dcterms:modified xsi:type="dcterms:W3CDTF">2026-09-23T10:14:36Z</dcterms:modified>
  <dc:language>en-US</dc:language>
</cp:coreProperties>
</file>